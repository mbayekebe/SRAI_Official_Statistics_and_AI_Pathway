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2193fe0dd447cf" /></Relationships>
</file>

<file path=xl/workbook.xml><?xml version="1.0" encoding="utf-8"?>
<x:workbook xmlns:x="http://schemas.openxmlformats.org/spreadsheetml/2006/main">
  <x:sheets>
    <x:sheet xmlns:r="http://schemas.openxmlformats.org/officeDocument/2006/relationships" name="Dashboard" sheetId="1" r:id="Red777db50dbe4060"/>
    <x:sheet xmlns:r="http://schemas.openxmlformats.org/officeDocument/2006/relationships" name="Institutions" sheetId="2" r:id="R03d4006cc9fa40ea"/>
    <x:sheet xmlns:r="http://schemas.openxmlformats.org/officeDocument/2006/relationships" name="Data Assets" sheetId="3" r:id="R8f9aeddf349a4fa0"/>
    <x:sheet xmlns:r="http://schemas.openxmlformats.org/officeDocument/2006/relationships" name="Data Flows" sheetId="4" r:id="Rf2f4582548104cb8"/>
    <x:sheet xmlns:r="http://schemas.openxmlformats.org/officeDocument/2006/relationships" name="User Needs" sheetId="5" r:id="Ra044731ffd6a436b"/>
    <x:sheet xmlns:r="http://schemas.openxmlformats.org/officeDocument/2006/relationships" name="Coordination" sheetId="6" r:id="R81222cd7a15e4dc1"/>
    <x:sheet xmlns:r="http://schemas.openxmlformats.org/officeDocument/2006/relationships" name="Risks and Actions" sheetId="7" r:id="R2fa103edaf0c4352"/>
    <x:sheet xmlns:r="http://schemas.openxmlformats.org/officeDocument/2006/relationships" name="Guidance" sheetId="8" r:id="R2f74240e17d247e9"/>
    <x:sheet xmlns:r="http://schemas.openxmlformats.org/officeDocument/2006/relationships" name="AI Work Record" sheetId="9" r:id="Rd1e93923be4f4f65"/>
    <x:sheet xmlns:r="http://schemas.openxmlformats.org/officeDocument/2006/relationships" name="Assurance" sheetId="10" r:id="Recd641d50c294d9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m-yyyy"/>
    <x:numFmt numFmtId="201" formatCode="0"/>
    <x:numFmt numFmtId="202" formatCode="yyyy-mm-dd"/>
  </x:numFmts>
  <x:fonts count="12">
    <x:font>
      <x:sz val="11"/>
      <x:name val="Carlito"/>
    </x:font>
    <x:font>
      <x:sz val="10"/>
      <x:color rgb="FF000000"/>
      <x:name val="Arial"/>
    </x:font>
    <x:font>
      <x:b/>
      <x:sz val="16"/>
      <x:color rgb="FF000000"/>
      <x:name val="Arial"/>
    </x:font>
    <x:font>
      <x:i/>
      <x:sz val="10"/>
      <x:color rgb="FF5A6570"/>
      <x:name val="Arial"/>
    </x:font>
    <x:font>
      <x:b/>
      <x:sz val="10"/>
      <x:color rgb="FFFFFFFF"/>
      <x:name val="Arial"/>
    </x:font>
    <x:font>
      <x:b/>
      <x:sz val="10"/>
      <x:color rgb="FF0F6B69"/>
      <x:name val="Arial"/>
    </x:font>
    <x:font>
      <x:b/>
      <x:sz val="15"/>
      <x:color rgb="FF000000"/>
      <x:name val="Arial"/>
    </x:font>
    <x:font>
      <x:i/>
      <x:sz val="10"/>
      <x:color rgb="FF52606D"/>
      <x:name val="Arial"/>
    </x:font>
    <x:font>
      <x:b/>
      <x:sz val="9"/>
      <x:color rgb="FFFFFFFF"/>
      <x:name val="Arial"/>
    </x:font>
    <x:font>
      <x:sz val="9"/>
      <x:color rgb="FF1C2329"/>
      <x:name val="Arial"/>
    </x:font>
    <x:font>
      <x:sz val="11"/>
      <x:name val="Arial"/>
    </x:font>
    <x:font>
      <x:i/>
      <x:sz val="9"/>
      <x:color rgb="FF1C2329"/>
      <x:name val="Arial"/>
    </x:font>
  </x:fonts>
  <x:fills count="9">
    <x:fill>
      <x:patternFill patternType="none"/>
    </x:fill>
    <x:fill>
      <x:patternFill patternType="gray125"/>
    </x:fill>
    <x:fill>
      <x:patternFill patternType="solid">
        <x:fgColor rgb="FF18324A"/>
      </x:patternFill>
    </x:fill>
    <x:fill>
      <x:patternFill patternType="solid">
        <x:fgColor rgb="FFFFF2CC"/>
      </x:patternFill>
    </x:fill>
    <x:fill>
      <x:patternFill patternType="solid">
        <x:fgColor rgb="FFF4F6F7"/>
      </x:patternFill>
    </x:fill>
    <x:fill>
      <x:patternFill patternType="solid">
        <x:fgColor rgb="FF16324F"/>
      </x:patternFill>
    </x:fill>
    <x:fill>
      <x:patternFill patternType="solid">
        <x:fgColor rgb="FFFFFFFF"/>
      </x:patternFill>
    </x:fill>
    <x:fill>
      <x:patternFill patternType="solid">
        <x:fgColor rgb="FFFFF2CC"/>
      </x:patternFill>
    </x:fill>
    <x:fill>
      <x:patternFill patternType="solid">
        <x:fgColor rgb="FFF3F6F8"/>
      </x:patternFill>
    </x:fill>
  </x:fills>
  <x:borders count="11">
    <x:border/>
    <x:border>
      <x:bottom style="thin">
        <x:color rgb="FFD9D9D9"/>
      </x:bottom>
    </x:border>
    <x:border>
      <x:bottom style="thin">
        <x:color rgb="FF167C80"/>
      </x:bottom>
    </x:border>
    <x:border>
      <x:left style="thin">
        <x:color rgb="FFFFFFFF"/>
      </x:left>
      <x:right style="thin">
        <x:color rgb="FFFFFFFF"/>
      </x:right>
      <x:top style="thin">
        <x:color rgb="FFFFFFFF"/>
      </x:top>
      <x:bottom style="thin">
        <x:color rgb="FFFFFFFF"/>
      </x:bottom>
    </x:border>
    <x:border>
      <x:left style="thin">
        <x:color rgb="FFD9D9D9"/>
      </x:left>
      <x:right style="thin">
        <x:color rgb="FFD9D9D9"/>
      </x:right>
      <x:top style="thin">
        <x:color rgb="FFD9D9D9"/>
      </x:top>
      <x:bottom style="thin">
        <x:color rgb="FFD9D9D9"/>
      </x:bottom>
    </x:border>
    <x:border>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top style="thin">
        <x:color rgb="FFD9D9D9"/>
      </x:top>
    </x:border>
  </x:borders>
  <x:cellStyleXfs count="1">
    <x:xf numFmtId="0" fontId="0" fillId="0" borderId="0"/>
  </x:cellStyleXfs>
  <x:cellXfs count="6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3" borderId="1"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6" fillId="0" borderId="0" xfId="0" applyNumberFormat="1" applyFont="1" applyFill="1" applyBorder="1"/>
    <x:xf numFmtId="0" fontId="7" fillId="0" borderId="0" xfId="0" applyNumberFormat="1" applyFont="1" applyFill="1" applyBorder="1"/>
    <x:xf numFmtId="0" fontId="0" fillId="0" borderId="2" xfId="0" applyNumberFormat="1" applyFont="1" applyFill="1" applyBorder="1"/>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wrapText="1"/>
    </x:xf>
    <x:xf numFmtId="0" fontId="8" fillId="5" borderId="3"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vertical="center"/>
    </x:xf>
    <x:xf numFmtId="0" fontId="9" fillId="0" borderId="4" xfId="0" applyNumberFormat="1" applyFont="1" applyFill="1" applyBorder="1" applyAlignment="1">
      <x:alignment vertical="center"/>
    </x:xf>
    <x:xf numFmtId="0" fontId="9" fillId="0" borderId="4" xfId="0" applyNumberFormat="1" applyFont="1" applyFill="1" applyBorder="1" applyAlignment="1">
      <x:alignment vertical="center" wrapText="1"/>
    </x:xf>
    <x:xf numFmtId="201" fontId="9" fillId="0" borderId="4" xfId="0" applyNumberFormat="1" applyFont="1" applyFill="1" applyBorder="1" applyAlignment="1">
      <x:alignment vertical="center" wrapText="1"/>
    </x:xf>
    <x:xf numFmtId="202" fontId="9" fillId="0" borderId="4" xfId="0" applyNumberFormat="1" applyFont="1" applyFill="1" applyBorder="1" applyAlignment="1">
      <x:alignment vertical="center" wrapText="1"/>
    </x:xf>
    <x:xf numFmtId="0" fontId="9" fillId="6" borderId="4" xfId="0" applyNumberFormat="1" applyFont="1" applyFill="1" applyBorder="1" applyAlignment="1">
      <x:alignment vertical="center"/>
    </x:xf>
    <x:xf numFmtId="0" fontId="9" fillId="6" borderId="4" xfId="0" applyNumberFormat="1" applyFont="1" applyFill="1" applyBorder="1" applyAlignment="1">
      <x:alignment vertical="center" wrapText="1"/>
    </x:xf>
    <x:xf numFmtId="201" fontId="9" fillId="6" borderId="4" xfId="0" applyNumberFormat="1" applyFont="1" applyFill="1" applyBorder="1" applyAlignment="1">
      <x:alignment vertical="center" wrapText="1"/>
    </x:xf>
    <x:xf numFmtId="202" fontId="9" fillId="6" borderId="4" xfId="0" applyNumberFormat="1" applyFont="1" applyFill="1" applyBorder="1" applyAlignment="1">
      <x:alignment vertical="center" wrapText="1"/>
    </x:xf>
    <x:xf numFmtId="0" fontId="9" fillId="7" borderId="4" xfId="0" applyNumberFormat="1" applyFont="1" applyFill="1" applyBorder="1" applyAlignment="1">
      <x:alignment vertical="center" wrapText="1"/>
    </x:xf>
    <x:xf numFmtId="202" fontId="9" fillId="7" borderId="4" xfId="0" applyNumberFormat="1" applyFont="1" applyFill="1" applyBorder="1" applyAlignment="1">
      <x:alignment vertical="center" wrapText="1"/>
    </x:xf>
    <x:xf numFmtId="0" fontId="9" fillId="7" borderId="4" xfId="0" applyNumberFormat="1" applyFont="1" applyFill="1" applyBorder="1" applyAlignment="1">
      <x:alignment vertical="center"/>
    </x:xf>
    <x:xf numFmtId="0" fontId="10" fillId="0" borderId="0" xfId="0" applyNumberFormat="1" applyFont="1" applyFill="1" applyBorder="1"/>
    <x:xf numFmtId="0" fontId="10" fillId="0" borderId="2" xfId="0" applyNumberFormat="1" applyFont="1" applyFill="1" applyBorder="1"/>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 fillId="5" borderId="0" xfId="0" applyNumberFormat="1" applyFont="1" applyFill="1" applyBorder="1" applyAlignment="1">
      <x:alignment vertical="center"/>
    </x:xf>
    <x:xf numFmtId="0" fontId="8" fillId="5" borderId="0" xfId="0" applyNumberFormat="1" applyFont="1" applyFill="1" applyBorder="1" applyAlignment="1">
      <x:alignment vertical="center"/>
    </x:xf>
    <x:xf numFmtId="0" fontId="9" fillId="0" borderId="5" xfId="0" applyNumberFormat="1" applyFont="1" applyFill="1" applyBorder="1" applyAlignment="1">
      <x:alignment vertical="center"/>
    </x:xf>
    <x:xf numFmtId="0" fontId="9" fillId="0" borderId="6" xfId="0" applyNumberFormat="1" applyFont="1" applyFill="1" applyBorder="1" applyAlignment="1">
      <x:alignment vertical="center"/>
    </x:xf>
    <x:xf numFmtId="0" fontId="9" fillId="0" borderId="7" xfId="0" applyNumberFormat="1" applyFont="1" applyFill="1" applyBorder="1" applyAlignment="1">
      <x:alignment vertical="center"/>
    </x:xf>
    <x:xf numFmtId="0" fontId="9" fillId="0" borderId="8" xfId="0" applyNumberFormat="1" applyFont="1" applyFill="1" applyBorder="1" applyAlignment="1">
      <x:alignment vertical="center"/>
    </x:xf>
    <x:xf numFmtId="0" fontId="9" fillId="0" borderId="9" xfId="0" applyNumberFormat="1" applyFont="1" applyFill="1" applyBorder="1" applyAlignment="1">
      <x:alignment vertical="center"/>
    </x:xf>
    <x:xf numFmtId="0" fontId="9" fillId="0" borderId="10" xfId="0" applyNumberFormat="1" applyFont="1" applyFill="1" applyBorder="1" applyAlignment="1">
      <x:alignment vertical="center"/>
    </x:xf>
    <x:xf numFmtId="0" fontId="4" fillId="5" borderId="0" xfId="0" applyNumberFormat="1" applyFont="1" applyFill="1" applyBorder="1" applyAlignment="1">
      <x:alignment vertical="center"/>
    </x:xf>
    <x:xf numFmtId="0" fontId="1" fillId="8" borderId="0" xfId="0" applyNumberFormat="1" applyFont="1" applyFill="1" applyBorder="1" applyAlignment="1">
      <x:alignment vertical="center"/>
    </x:xf>
    <x:xf numFmtId="0" fontId="9" fillId="8" borderId="0" xfId="0" applyNumberFormat="1" applyFont="1" applyFill="1" applyBorder="1" applyAlignment="1">
      <x:alignment vertical="center"/>
    </x:xf>
    <x:xf numFmtId="0" fontId="9" fillId="8" borderId="0" xfId="0" applyNumberFormat="1" applyFont="1" applyFill="1" applyBorder="1" applyAlignment="1">
      <x:alignment vertical="center" wrapText="1"/>
    </x:xf>
    <x:xf numFmtId="0" fontId="9" fillId="8" borderId="0" xfId="0" applyNumberFormat="1" applyFont="1" applyFill="1" applyBorder="1" applyAlignment="1">
      <x:alignment vertical="top" wrapText="1"/>
    </x:xf>
    <x:xf numFmtId="0" fontId="11" fillId="8" borderId="0" xfId="0" applyNumberFormat="1" applyFont="1" applyFill="1" applyBorder="1" applyAlignment="1">
      <x:alignment vertical="center"/>
    </x:xf>
    <x:xf numFmtId="0" fontId="11" fillId="8" borderId="0" xfId="0" applyNumberFormat="1" applyFont="1" applyFill="1" applyBorder="1" applyAlignment="1">
      <x:alignment vertical="center" wrapText="1"/>
    </x:xf>
  </x:cellXfs>
  <x:cellStyles count="1">
    <x:cellStyle name="Normal" xfId="0"/>
  </x:cellStyles>
  <x:dxfs count="13">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7F6000"/>
      </x:font>
      <x:fill>
        <x:patternFill>
          <x:bgColor rgb="FFFFF2CC"/>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7F6000"/>
      </x:font>
      <x:fill>
        <x:patternFill>
          <x:bgColor rgb="FFFFF2CC"/>
        </x:patternFill>
      </x:fill>
    </x:dxf>
    <x:dxf>
      <x:font>
        <x:b/>
        <x:color rgb="FF9C0006"/>
      </x:font>
      <x:fill>
        <x:patternFill>
          <x:bgColor rgb="FFFCE8E6"/>
        </x:patternFill>
      </x:fill>
    </x:dxf>
    <x:dxf>
      <x:font>
        <x:b/>
        <x:color rgb="FF9C0006"/>
      </x:font>
      <x:fill>
        <x:patternFill>
          <x:bgColor rgb="FFFCE8E6"/>
        </x:patternFill>
      </x:fill>
    </x:dxf>
    <x:dxf>
      <x:fill>
        <x:patternFill patternType="solid">
          <x:bgColor rgb="FFFFF2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14983c5800428e" /><Relationship Type="http://schemas.openxmlformats.org/officeDocument/2006/relationships/theme" Target="/xl/theme/theme1.xml" Id="Ref6c121596bf4b29" /><Relationship Type="http://schemas.openxmlformats.org/officeDocument/2006/relationships/sharedStrings" Target="/xl/sharedStrings.xml" Id="R15c1ec9014334b23" /><Relationship Type="http://schemas.openxmlformats.org/officeDocument/2006/relationships/worksheet" Target="/xl/worksheets/sheet1.xml" Id="Red777db50dbe4060" /><Relationship Type="http://schemas.openxmlformats.org/officeDocument/2006/relationships/worksheet" Target="/xl/worksheets/sheet2.xml" Id="R03d4006cc9fa40ea" /><Relationship Type="http://schemas.openxmlformats.org/officeDocument/2006/relationships/worksheet" Target="/xl/worksheets/sheet3.xml" Id="R8f9aeddf349a4fa0" /><Relationship Type="http://schemas.openxmlformats.org/officeDocument/2006/relationships/worksheet" Target="/xl/worksheets/sheet4.xml" Id="Rf2f4582548104cb8" /><Relationship Type="http://schemas.openxmlformats.org/officeDocument/2006/relationships/worksheet" Target="/xl/worksheets/sheet5.xml" Id="Ra044731ffd6a436b" /><Relationship Type="http://schemas.openxmlformats.org/officeDocument/2006/relationships/worksheet" Target="/xl/worksheets/sheet6.xml" Id="R81222cd7a15e4dc1" /><Relationship Type="http://schemas.openxmlformats.org/officeDocument/2006/relationships/worksheet" Target="/xl/worksheets/sheet7.xml" Id="R2fa103edaf0c4352" /><Relationship Type="http://schemas.openxmlformats.org/officeDocument/2006/relationships/worksheet" Target="/xl/worksheets/sheet8.xml" Id="R2f74240e17d247e9" /><Relationship Type="http://schemas.openxmlformats.org/officeDocument/2006/relationships/worksheet" Target="/xl/worksheets/sheet9.xml" Id="Rd1e93923be4f4f65" /><Relationship Type="http://schemas.openxmlformats.org/officeDocument/2006/relationships/worksheet" Target="/xl/worksheets/sheet10.xml" Id="Recd641d50c294d9c" /></Relationships>
</file>

<file path=xl/tables/table1.xml><?xml version="1.0" encoding="utf-8"?>
<x:table xmlns:x="http://schemas.openxmlformats.org/spreadsheetml/2006/main" id="1" name="AIWorkRecordTable" displayName="AIWorkRecordTable" ref="A5:W35" headerRowCount="1" totalsRowCount="0" totalsRowShown="0">
  <x:tableColumns count="23">
    <x:tableColumn id="1" name="Record ID"/>
    <x:tableColumn id="2" name="Statistical task"/>
    <x:tableColumn id="3" name="Baseline method"/>
    <x:tableColumn id="4" name="Baseline minutes"/>
    <x:tableColumn id="5" name="AI capability or tool class"/>
    <x:tableColumn id="6" name="Input classification"/>
    <x:tableColumn id="7" name="Prompt or configuration version"/>
    <x:tableColumn id="8" name="Candidate output reference"/>
    <x:tableColumn id="9" name="Independent verification method"/>
    <x:tableColumn id="10" name="Failure detected"/>
    <x:tableColumn id="11" name="Correction made"/>
    <x:tableColumn id="12" name="AI execution minutes"/>
    <x:tableColumn id="13" name="Verification and rework minutes"/>
    <x:tableColumn id="14" name="Accepted quality"/>
    <x:tableColumn id="15" name="Net minutes saved"/>
    <x:tableColumn id="16" name="What AI could do"/>
    <x:tableColumn id="17" name="What AI should do"/>
    <x:tableColumn id="18" name="Statistician decision"/>
    <x:tableColumn id="19" name="Subject specialist decision"/>
    <x:tableColumn id="20" name="Stopping rule"/>
    <x:tableColumn id="21" name="Final disposition"/>
    <x:tableColumn id="22" name="Accountable reviewer"/>
    <x:tableColumn id="23" name="Review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c5da5725b48d4805" /></Relationships>
</file>

<file path=xl/worksheets/sheet1.xml><?xml version="1.0" encoding="utf-8"?>
<x:worksheet xmlns:x="http://schemas.openxmlformats.org/spreadsheetml/2006/main">
  <x:sheetPr>
    <x:tabColor rgb="FF18324A"/>
  </x:sheetPr>
  <x:sheetViews>
    <x:sheetView showGridLines="0" workbookViewId="0"/>
  </x:sheetViews>
  <x:sheetFormatPr defaultRowHeight="15"/>
  <x:cols>
    <x:col min="1" max="1" width="31" hidden="0" customWidth="1"/>
    <x:col min="2" max="2" width="13" hidden="0" customWidth="1"/>
    <x:col min="3" max="3" width="3" hidden="0" customWidth="1"/>
    <x:col min="4" max="4" width="31" hidden="0" customWidth="1"/>
    <x:col min="5" max="5" width="13" hidden="0" customWidth="1"/>
    <x:col min="6" max="6" width="3" hidden="0" customWidth="1"/>
    <x:col min="7" max="7" width="24" hidden="0" customWidth="1"/>
    <x:col min="8" max="8" width="13" hidden="0" customWidth="1"/>
    <x:col min="9" max="9" width="3" hidden="0" customWidth="1"/>
    <x:col min="10" max="10" width="25" hidden="0" customWidth="1"/>
    <x:col min="11" max="11" width="13" hidden="0" customWidth="1"/>
    <x:col min="12" max="12" width="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National Information Ecosystem Map Dashboard</x:v>
      </x:c>
      <x:c r="B2" s="3"/>
      <x:c r="C2" s="3"/>
      <x:c r="D2" s="3"/>
      <x:c r="E2" s="3"/>
      <x:c r="F2" s="3"/>
      <x:c r="G2" s="3"/>
      <x:c r="H2" s="3"/>
      <x:c r="I2" s="3"/>
      <x:c r="J2" s="3"/>
      <x:c r="K2" s="3"/>
      <x:c r="L2" s="3"/>
      <x:c r="M2" s="2"/>
      <x:c r="N2" s="2"/>
      <x:c r="O2" s="2"/>
      <x:c r="P2" s="2"/>
      <x:c r="Q2" s="2"/>
      <x:c r="R2" s="2"/>
      <x:c r="S2" s="2"/>
      <x:c r="T2" s="2"/>
      <x:c r="U2" s="2"/>
      <x:c r="V2" s="2"/>
      <x:c r="W2" s="2"/>
      <x:c r="X2" s="2"/>
      <x:c r="Y2" s="2"/>
      <x:c r="Z2" s="2"/>
    </x:row>
    <x:row r="3">
      <x:c r="A3" s="4" t="str">
        <x:v>Coverage, relationships, critical dependencies and priority risks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x:c r="A5" s="16" t="str">
        <x:v>Country or territory</x:v>
      </x:c>
      <x:c r="B5" s="10" t="str"/>
      <x:c r="C5" s="2"/>
      <x:c r="D5" s="2"/>
      <x:c r="E5" s="2"/>
      <x:c r="F5" s="2"/>
      <x:c r="G5" s="2"/>
      <x:c r="H5" s="2"/>
      <x:c r="I5" s="2"/>
      <x:c r="J5" s="2"/>
      <x:c r="K5" s="2"/>
      <x:c r="L5" s="2"/>
      <x:c r="M5" s="2"/>
      <x:c r="N5" s="2"/>
      <x:c r="O5" s="2"/>
      <x:c r="P5" s="2"/>
      <x:c r="Q5" s="2"/>
      <x:c r="R5" s="2"/>
      <x:c r="S5" s="2"/>
      <x:c r="T5" s="2"/>
      <x:c r="U5" s="2"/>
      <x:c r="V5" s="2"/>
      <x:c r="W5" s="2"/>
      <x:c r="X5" s="2"/>
      <x:c r="Y5" s="2"/>
      <x:c r="Z5" s="2"/>
    </x:row>
    <x:row r="6">
      <x:c r="A6" s="16" t="str">
        <x:v>Assessment scope</x:v>
      </x:c>
      <x:c r="B6" s="10" t="str"/>
      <x:c r="C6" s="2"/>
      <x:c r="D6" s="2"/>
      <x:c r="E6" s="2"/>
      <x:c r="F6" s="2"/>
      <x:c r="G6" s="2"/>
      <x:c r="H6" s="2"/>
      <x:c r="I6" s="2"/>
      <x:c r="J6" s="2"/>
      <x:c r="K6" s="2"/>
      <x:c r="L6" s="2"/>
      <x:c r="M6" s="2"/>
      <x:c r="N6" s="2"/>
      <x:c r="O6" s="2"/>
      <x:c r="P6" s="2"/>
      <x:c r="Q6" s="2"/>
      <x:c r="R6" s="2"/>
      <x:c r="S6" s="2"/>
      <x:c r="T6" s="2"/>
      <x:c r="U6" s="2"/>
      <x:c r="V6" s="2"/>
      <x:c r="W6" s="2"/>
      <x:c r="X6" s="2"/>
      <x:c r="Y6" s="2"/>
      <x:c r="Z6" s="2"/>
    </x:row>
    <x:row r="7">
      <x:c r="A7" s="16" t="str">
        <x:v>Lead institution</x:v>
      </x:c>
      <x:c r="B7" s="10" t="str"/>
      <x:c r="C7" s="2"/>
      <x:c r="D7" s="2"/>
      <x:c r="E7" s="2"/>
      <x:c r="F7" s="2"/>
      <x:c r="G7" s="2"/>
      <x:c r="H7" s="2"/>
      <x:c r="I7" s="2"/>
      <x:c r="J7" s="2"/>
      <x:c r="K7" s="2"/>
      <x:c r="L7" s="2"/>
      <x:c r="M7" s="2"/>
      <x:c r="N7" s="2"/>
      <x:c r="O7" s="2"/>
      <x:c r="P7" s="2"/>
      <x:c r="Q7" s="2"/>
      <x:c r="R7" s="2"/>
      <x:c r="S7" s="2"/>
      <x:c r="T7" s="2"/>
      <x:c r="U7" s="2"/>
      <x:c r="V7" s="2"/>
      <x:c r="W7" s="2"/>
      <x:c r="X7" s="2"/>
      <x:c r="Y7" s="2"/>
      <x:c r="Z7" s="2"/>
    </x:row>
    <x:row r="8">
      <x:c r="A8" s="16" t="str">
        <x:v>Sector or domain</x:v>
      </x:c>
      <x:c r="B8" s="10" t="str"/>
      <x:c r="C8" s="2"/>
      <x:c r="D8" s="2"/>
      <x:c r="E8" s="2"/>
      <x:c r="F8" s="2"/>
      <x:c r="G8" s="2"/>
      <x:c r="H8" s="2"/>
      <x:c r="I8" s="2"/>
      <x:c r="J8" s="2"/>
      <x:c r="K8" s="2"/>
      <x:c r="L8" s="2"/>
      <x:c r="M8" s="2"/>
      <x:c r="N8" s="2"/>
      <x:c r="O8" s="2"/>
      <x:c r="P8" s="2"/>
      <x:c r="Q8" s="2"/>
      <x:c r="R8" s="2"/>
      <x:c r="S8" s="2"/>
      <x:c r="T8" s="2"/>
      <x:c r="U8" s="2"/>
      <x:c r="V8" s="2"/>
      <x:c r="W8" s="2"/>
      <x:c r="X8" s="2"/>
      <x:c r="Y8" s="2"/>
      <x:c r="Z8" s="2"/>
    </x:row>
    <x:row r="9">
      <x:c r="A9" s="16" t="str">
        <x:v>Reference date</x:v>
      </x:c>
      <x:c r="B9" s="14" t="str"/>
      <x:c r="C9" s="2"/>
      <x:c r="D9" s="2"/>
      <x:c r="E9" s="2"/>
      <x:c r="F9" s="2"/>
      <x:c r="G9" s="2"/>
      <x:c r="H9" s="2"/>
      <x:c r="I9" s="2"/>
      <x:c r="J9" s="2"/>
      <x:c r="K9" s="2"/>
      <x:c r="L9" s="2"/>
      <x:c r="M9" s="2"/>
      <x:c r="N9" s="2"/>
      <x:c r="O9" s="2"/>
      <x:c r="P9" s="2"/>
      <x:c r="Q9" s="2"/>
      <x:c r="R9" s="2"/>
      <x:c r="S9" s="2"/>
      <x:c r="T9" s="2"/>
      <x:c r="U9" s="2"/>
      <x:c r="V9" s="2"/>
      <x:c r="W9" s="2"/>
      <x:c r="X9" s="2"/>
      <x:c r="Y9" s="2"/>
      <x:c r="Z9" s="2"/>
    </x:row>
    <x:row r="10">
      <x:c r="A10" s="16" t="str">
        <x:v>Map version</x:v>
      </x:c>
      <x:c r="B10" s="11" t="str"/>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22" customHeight="1">
      <x:c r="A12" s="6" t="str">
        <x:v>Ecosystem coverage</x:v>
      </x:c>
      <x:c r="B12" s="6"/>
      <x:c r="C12" s="6"/>
      <x:c r="D12" s="6"/>
      <x:c r="E12" s="6"/>
      <x:c r="F12" s="6"/>
      <x:c r="G12" s="6"/>
      <x:c r="H12" s="6"/>
      <x:c r="I12" s="6"/>
      <x:c r="J12" s="6"/>
      <x:c r="K12" s="6"/>
      <x:c r="L12" s="6"/>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ht="32" customHeight="1">
      <x:c r="A14" s="8" t="str">
        <x:v>Measure</x:v>
      </x:c>
      <x:c r="B14" s="8" t="str">
        <x:v>Count</x:v>
      </x:c>
      <x:c r="C14" s="2"/>
      <x:c r="D14" s="8" t="str">
        <x:v>Critical dependency measure</x:v>
      </x:c>
      <x:c r="E14" s="8" t="str">
        <x:v>Count</x:v>
      </x:c>
      <x:c r="F14" s="2"/>
      <x:c r="G14" s="2"/>
      <x:c r="H14" s="2"/>
      <x:c r="I14" s="2"/>
      <x:c r="J14" s="2"/>
      <x:c r="K14" s="2"/>
      <x:c r="L14" s="2"/>
      <x:c r="M14" s="2"/>
      <x:c r="N14" s="2"/>
      <x:c r="O14" s="2"/>
      <x:c r="P14" s="2"/>
      <x:c r="Q14" s="2"/>
      <x:c r="R14" s="2"/>
      <x:c r="S14" s="2"/>
      <x:c r="T14" s="2"/>
      <x:c r="U14" s="2"/>
      <x:c r="V14" s="2"/>
      <x:c r="W14" s="2"/>
      <x:c r="X14" s="2"/>
      <x:c r="Y14" s="2"/>
      <x:c r="Z14" s="2"/>
    </x:row>
    <x:row r="15">
      <x:c r="A15" s="2" t="str">
        <x:v>Institutions registered</x:v>
      </x:c>
      <x:c r="B15" s="2" t="n">
        <x:f>COUNTA(Institutions!A6:A35)</x:f>
        <x:v>0</x:v>
      </x:c>
      <x:c r="C15" s="2"/>
      <x:c r="D15" s="2" t="str">
        <x:v>Critical data flows</x:v>
      </x:c>
      <x:c r="E15" s="2" t="n">
        <x:f>COUNTIF('Data Flows'!N6:N45,"Critical")</x:f>
        <x:v>0</x:v>
      </x:c>
      <x:c r="F15" s="2"/>
      <x:c r="G15" s="2"/>
      <x:c r="H15" s="2"/>
      <x:c r="I15" s="2"/>
      <x:c r="J15" s="2"/>
      <x:c r="K15" s="2"/>
      <x:c r="L15" s="2"/>
      <x:c r="M15" s="2"/>
      <x:c r="N15" s="2"/>
      <x:c r="O15" s="2"/>
      <x:c r="P15" s="2"/>
      <x:c r="Q15" s="2"/>
      <x:c r="R15" s="2"/>
      <x:c r="S15" s="2"/>
      <x:c r="T15" s="2"/>
      <x:c r="U15" s="2"/>
      <x:c r="V15" s="2"/>
      <x:c r="W15" s="2"/>
      <x:c r="X15" s="2"/>
      <x:c r="Y15" s="2"/>
      <x:c r="Z15" s="2"/>
    </x:row>
    <x:row r="16">
      <x:c r="A16" s="2" t="str">
        <x:v>Data assets registered</x:v>
      </x:c>
      <x:c r="B16" s="2" t="n">
        <x:f>COUNTA('Data Assets'!A6:A45)</x:f>
        <x:v>0</x:v>
      </x:c>
      <x:c r="C16" s="2"/>
      <x:c r="D16" s="2" t="str">
        <x:v>Flows without active agreement</x:v>
      </x:c>
      <x:c r="E16" s="2" t="n">
        <x:f>COUNTIF('Data Flows'!H6:H45,"Absent")+COUNTIF('Data Flows'!H6:H45,"Expired")</x:f>
        <x:v>0</x:v>
      </x:c>
      <x:c r="F16" s="2"/>
      <x:c r="G16" s="2"/>
      <x:c r="H16" s="2"/>
      <x:c r="I16" s="2"/>
      <x:c r="J16" s="2"/>
      <x:c r="K16" s="2"/>
      <x:c r="L16" s="2"/>
      <x:c r="M16" s="2"/>
      <x:c r="N16" s="2"/>
      <x:c r="O16" s="2"/>
      <x:c r="P16" s="2"/>
      <x:c r="Q16" s="2"/>
      <x:c r="R16" s="2"/>
      <x:c r="S16" s="2"/>
      <x:c r="T16" s="2"/>
      <x:c r="U16" s="2"/>
      <x:c r="V16" s="2"/>
      <x:c r="W16" s="2"/>
      <x:c r="X16" s="2"/>
      <x:c r="Y16" s="2"/>
      <x:c r="Z16" s="2"/>
    </x:row>
    <x:row r="17">
      <x:c r="A17" s="2" t="str">
        <x:v>Data flows registered</x:v>
      </x:c>
      <x:c r="B17" s="2" t="n">
        <x:f>COUNTA('Data Flows'!A6:A45)</x:f>
        <x:v>0</x:v>
      </x:c>
      <x:c r="C17" s="2"/>
      <x:c r="D17" s="2" t="str">
        <x:v>Late or unmeasured flows</x:v>
      </x:c>
      <x:c r="E17" s="2" t="n">
        <x:f>COUNTIF('Data Flows'!I6:I45,"Sometimes late")+COUNTIF('Data Flows'!I6:I45,"Consistently late")+COUNTIF('Data Flows'!I6:I45,"Not measured")</x:f>
        <x:v>0</x:v>
      </x:c>
      <x:c r="F17" s="2"/>
      <x:c r="G17" s="2"/>
      <x:c r="H17" s="2"/>
      <x:c r="I17" s="2"/>
      <x:c r="J17" s="2"/>
      <x:c r="K17" s="2"/>
      <x:c r="L17" s="2"/>
      <x:c r="M17" s="2"/>
      <x:c r="N17" s="2"/>
      <x:c r="O17" s="2"/>
      <x:c r="P17" s="2"/>
      <x:c r="Q17" s="2"/>
      <x:c r="R17" s="2"/>
      <x:c r="S17" s="2"/>
      <x:c r="T17" s="2"/>
      <x:c r="U17" s="2"/>
      <x:c r="V17" s="2"/>
      <x:c r="W17" s="2"/>
      <x:c r="X17" s="2"/>
      <x:c r="Y17" s="2"/>
      <x:c r="Z17" s="2"/>
    </x:row>
    <x:row r="18">
      <x:c r="A18" s="2" t="str">
        <x:v>User needs registered</x:v>
      </x:c>
      <x:c r="B18" s="2" t="n">
        <x:f>COUNTA('User Needs'!A6:A35)</x:f>
        <x:v>0</x:v>
      </x:c>
      <x:c r="C18" s="2"/>
      <x:c r="D18" s="2" t="str">
        <x:v>Assets with quality concern</x:v>
      </x:c>
      <x:c r="E18" s="2" t="n">
        <x:f>COUNTIF('Data Assets'!L6:L45,"Quality concern")</x:f>
        <x:v>0</x:v>
      </x:c>
      <x:c r="F18" s="2"/>
      <x:c r="G18" s="2"/>
      <x:c r="H18" s="2"/>
      <x:c r="I18" s="2"/>
      <x:c r="J18" s="2"/>
      <x:c r="K18" s="2"/>
      <x:c r="L18" s="2"/>
      <x:c r="M18" s="2"/>
      <x:c r="N18" s="2"/>
      <x:c r="O18" s="2"/>
      <x:c r="P18" s="2"/>
      <x:c r="Q18" s="2"/>
      <x:c r="R18" s="2"/>
      <x:c r="S18" s="2"/>
      <x:c r="T18" s="2"/>
      <x:c r="U18" s="2"/>
      <x:c r="V18" s="2"/>
      <x:c r="W18" s="2"/>
      <x:c r="X18" s="2"/>
      <x:c r="Y18" s="2"/>
      <x:c r="Z18" s="2"/>
    </x:row>
    <x:row r="19">
      <x:c r="A19" s="2" t="str">
        <x:v>Coordination arrangements</x:v>
      </x:c>
      <x:c r="B19" s="2" t="n">
        <x:f>COUNTA(Coordination!A6:A30)</x:f>
        <x:v>0</x:v>
      </x:c>
      <x:c r="C19" s="2"/>
      <x:c r="D19" s="2" t="str">
        <x:v>Assets without metadata</x:v>
      </x:c>
      <x:c r="E19" s="2" t="n">
        <x:f>COUNTIF('Data Assets'!M6:M45,"Absent")</x:f>
        <x:v>0</x:v>
      </x:c>
      <x:c r="F19" s="2"/>
      <x:c r="G19" s="2"/>
      <x:c r="H19" s="2"/>
      <x:c r="I19" s="2"/>
      <x:c r="J19" s="2"/>
      <x:c r="K19" s="2"/>
      <x:c r="L19" s="2"/>
      <x:c r="M19" s="2"/>
      <x:c r="N19" s="2"/>
      <x:c r="O19" s="2"/>
      <x:c r="P19" s="2"/>
      <x:c r="Q19" s="2"/>
      <x:c r="R19" s="2"/>
      <x:c r="S19" s="2"/>
      <x:c r="T19" s="2"/>
      <x:c r="U19" s="2"/>
      <x:c r="V19" s="2"/>
      <x:c r="W19" s="2"/>
      <x:c r="X19" s="2"/>
      <x:c r="Y19" s="2"/>
      <x:c r="Z19" s="2"/>
    </x:row>
    <x:row r="20">
      <x:c r="A20" s="2" t="str">
        <x:v>Risks registered</x:v>
      </x:c>
      <x:c r="B20" s="2" t="n">
        <x:f>COUNTA('Risks and Actions'!A6:A35)</x:f>
        <x:v>0</x:v>
      </x:c>
      <x:c r="C20" s="2"/>
      <x:c r="D20" s="17" t="str">
        <x:v>Critical or high risks</x:v>
      </x:c>
      <x:c r="E20" s="17" t="n">
        <x:f>COUNTIF('Risks and Actions'!H6:H35,"Critical")+COUNTIF('Risks and Actions'!H6:H35,"High")</x:f>
        <x:v>0</x:v>
      </x:c>
      <x:c r="F20" s="2"/>
      <x:c r="G20" s="2"/>
      <x:c r="H20" s="2"/>
      <x:c r="I20" s="2"/>
      <x:c r="J20" s="2"/>
      <x:c r="K20" s="2"/>
      <x:c r="L20" s="2"/>
      <x:c r="M20" s="2"/>
      <x:c r="N20" s="2"/>
      <x:c r="O20" s="2"/>
      <x:c r="P20" s="2"/>
      <x:c r="Q20" s="2"/>
      <x:c r="R20" s="2"/>
      <x:c r="S20" s="2"/>
      <x:c r="T20" s="2"/>
      <x:c r="U20" s="2"/>
      <x:c r="V20" s="2"/>
      <x:c r="W20" s="2"/>
      <x:c r="X20" s="2"/>
      <x:c r="Y20" s="2"/>
      <x:c r="Z20" s="2"/>
    </x:row>
    <x:row r="21">
      <x:c r="A21" s="17" t="str">
        <x:v>Incomplete institution records</x:v>
      </x:c>
      <x:c r="B21" s="17" t="n">
        <x:f>COUNTIF(Institutions!M6:M35,"Needs verification")</x:f>
        <x:v>0</x:v>
      </x:c>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22" customHeight="1">
      <x:c r="A24" s="6" t="str">
        <x:v>Composition and relationship profile</x:v>
      </x:c>
      <x:c r="B24" s="6"/>
      <x:c r="C24" s="6"/>
      <x:c r="D24" s="6"/>
      <x:c r="E24" s="6"/>
      <x:c r="F24" s="6"/>
      <x:c r="G24" s="6"/>
      <x:c r="H24" s="6"/>
      <x:c r="I24" s="6"/>
      <x:c r="J24" s="6"/>
      <x:c r="K24" s="6"/>
      <x:c r="L24" s="6"/>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32" customHeight="1">
      <x:c r="A26" s="8" t="str">
        <x:v>Institution type</x:v>
      </x:c>
      <x:c r="B26" s="8" t="str">
        <x:v>Count</x:v>
      </x:c>
      <x:c r="C26" s="2"/>
      <x:c r="D26" s="8" t="str">
        <x:v>Data source category</x:v>
      </x:c>
      <x:c r="E26" s="8" t="str">
        <x:v>Count</x:v>
      </x:c>
      <x:c r="F26" s="2"/>
      <x:c r="G26" s="8" t="str">
        <x:v>Flow status</x:v>
      </x:c>
      <x:c r="H26" s="8" t="str">
        <x:v>Count</x:v>
      </x:c>
      <x:c r="I26" s="2"/>
      <x:c r="J26" s="8" t="str">
        <x:v>Risk rating</x:v>
      </x:c>
      <x:c r="K26" s="8" t="str">
        <x:v>Count</x:v>
      </x:c>
      <x:c r="L26" s="2"/>
      <x:c r="M26" s="2"/>
      <x:c r="N26" s="2"/>
      <x:c r="O26" s="2"/>
      <x:c r="P26" s="2"/>
      <x:c r="Q26" s="2"/>
      <x:c r="R26" s="2"/>
      <x:c r="S26" s="2"/>
      <x:c r="T26" s="2"/>
      <x:c r="U26" s="2"/>
      <x:c r="V26" s="2"/>
      <x:c r="W26" s="2"/>
      <x:c r="X26" s="2"/>
      <x:c r="Y26" s="2"/>
      <x:c r="Z26" s="2"/>
    </x:row>
    <x:row r="27">
      <x:c r="A27" s="2" t="str">
        <x:v>National statistical office</x:v>
      </x:c>
      <x:c r="B27" s="2" t="n">
        <x:f>COUNTIF(Institutions!C6:C35,A27)</x:f>
        <x:v>0</x:v>
      </x:c>
      <x:c r="C27" s="2"/>
      <x:c r="D27" s="2" t="str">
        <x:v>Survey or census</x:v>
      </x:c>
      <x:c r="E27" s="2" t="n">
        <x:f>COUNTIF('Data Assets'!D6:D45,D27)</x:f>
        <x:v>0</x:v>
      </x:c>
      <x:c r="F27" s="2"/>
      <x:c r="G27" s="2" t="str">
        <x:v>Active</x:v>
      </x:c>
      <x:c r="H27" s="2" t="n">
        <x:f>COUNTIF('Data Flows'!M6:M45,G27)</x:f>
        <x:v>0</x:v>
      </x:c>
      <x:c r="I27" s="2"/>
      <x:c r="J27" s="2" t="str">
        <x:v>Critical</x:v>
      </x:c>
      <x:c r="K27" s="2" t="n">
        <x:f>COUNTIF('Risks and Actions'!H6:H35,J27)</x:f>
        <x:v>0</x:v>
      </x:c>
      <x:c r="L27" s="2"/>
      <x:c r="M27" s="2"/>
      <x:c r="N27" s="2"/>
      <x:c r="O27" s="2"/>
      <x:c r="P27" s="2"/>
      <x:c r="Q27" s="2"/>
      <x:c r="R27" s="2"/>
      <x:c r="S27" s="2"/>
      <x:c r="T27" s="2"/>
      <x:c r="U27" s="2"/>
      <x:c r="V27" s="2"/>
      <x:c r="W27" s="2"/>
      <x:c r="X27" s="2"/>
      <x:c r="Y27" s="2"/>
      <x:c r="Z27" s="2"/>
    </x:row>
    <x:row r="28">
      <x:c r="A28" s="2" t="str">
        <x:v>Ministry or department</x:v>
      </x:c>
      <x:c r="B28" s="2" t="n">
        <x:f>COUNTIF(Institutions!C6:C35,A28)</x:f>
        <x:v>0</x:v>
      </x:c>
      <x:c r="C28" s="2"/>
      <x:c r="D28" s="2" t="str">
        <x:v>Administrative record</x:v>
      </x:c>
      <x:c r="E28" s="2" t="n">
        <x:f>COUNTIF('Data Assets'!D6:D45,D28)</x:f>
        <x:v>0</x:v>
      </x:c>
      <x:c r="F28" s="2"/>
      <x:c r="G28" s="2" t="str">
        <x:v>Planned</x:v>
      </x:c>
      <x:c r="H28" s="2" t="n">
        <x:f>COUNTIF('Data Flows'!M6:M45,G28)</x:f>
        <x:v>0</x:v>
      </x:c>
      <x:c r="I28" s="2"/>
      <x:c r="J28" s="2" t="str">
        <x:v>High</x:v>
      </x:c>
      <x:c r="K28" s="2" t="n">
        <x:f>COUNTIF('Risks and Actions'!H6:H35,J28)</x:f>
        <x:v>0</x:v>
      </x:c>
      <x:c r="L28" s="2"/>
      <x:c r="M28" s="2"/>
      <x:c r="N28" s="2"/>
      <x:c r="O28" s="2"/>
      <x:c r="P28" s="2"/>
      <x:c r="Q28" s="2"/>
      <x:c r="R28" s="2"/>
      <x:c r="S28" s="2"/>
      <x:c r="T28" s="2"/>
      <x:c r="U28" s="2"/>
      <x:c r="V28" s="2"/>
      <x:c r="W28" s="2"/>
      <x:c r="X28" s="2"/>
      <x:c r="Y28" s="2"/>
      <x:c r="Z28" s="2"/>
    </x:row>
    <x:row r="29">
      <x:c r="A29" s="2" t="str">
        <x:v>Central bank</x:v>
      </x:c>
      <x:c r="B29" s="2" t="n">
        <x:f>COUNTIF(Institutions!C6:C35,A29)</x:f>
        <x:v>0</x:v>
      </x:c>
      <x:c r="C29" s="2"/>
      <x:c r="D29" s="2" t="str">
        <x:v>Research or experimental</x:v>
      </x:c>
      <x:c r="E29" s="2" t="n">
        <x:f>COUNTIF('Data Assets'!D6:D45,D29)</x:f>
        <x:v>0</x:v>
      </x:c>
      <x:c r="F29" s="2"/>
      <x:c r="G29" s="2" t="str">
        <x:v>Suspended</x:v>
      </x:c>
      <x:c r="H29" s="2" t="n">
        <x:f>COUNTIF('Data Flows'!M6:M45,G29)</x:f>
        <x:v>0</x:v>
      </x:c>
      <x:c r="I29" s="2"/>
      <x:c r="J29" s="2" t="str">
        <x:v>Medium</x:v>
      </x:c>
      <x:c r="K29" s="2" t="n">
        <x:f>COUNTIF('Risks and Actions'!H6:H35,J29)</x:f>
        <x:v>0</x:v>
      </x:c>
      <x:c r="L29" s="2"/>
      <x:c r="M29" s="2"/>
      <x:c r="N29" s="2"/>
      <x:c r="O29" s="2"/>
      <x:c r="P29" s="2"/>
      <x:c r="Q29" s="2"/>
      <x:c r="R29" s="2"/>
      <x:c r="S29" s="2"/>
      <x:c r="T29" s="2"/>
      <x:c r="U29" s="2"/>
      <x:c r="V29" s="2"/>
      <x:c r="W29" s="2"/>
      <x:c r="X29" s="2"/>
      <x:c r="Y29" s="2"/>
      <x:c r="Z29" s="2"/>
    </x:row>
    <x:row r="30">
      <x:c r="A30" s="2" t="str">
        <x:v>Local government</x:v>
      </x:c>
      <x:c r="B30" s="2" t="n">
        <x:f>COUNTIF(Institutions!C6:C35,A30)</x:f>
        <x:v>0</x:v>
      </x:c>
      <x:c r="C30" s="2"/>
      <x:c r="D30" s="2" t="str">
        <x:v>Geospatial or Earth observation</x:v>
      </x:c>
      <x:c r="E30" s="2" t="n">
        <x:f>COUNTIF('Data Assets'!D6:D45,D30)</x:f>
        <x:v>0</x:v>
      </x:c>
      <x:c r="F30" s="2"/>
      <x:c r="G30" s="2" t="str">
        <x:v>Stopped</x:v>
      </x:c>
      <x:c r="H30" s="2" t="n">
        <x:f>COUNTIF('Data Flows'!M6:M45,G30)</x:f>
        <x:v>0</x:v>
      </x:c>
      <x:c r="I30" s="2"/>
      <x:c r="J30" s="2" t="str">
        <x:v>Low</x:v>
      </x:c>
      <x:c r="K30" s="2" t="n">
        <x:f>COUNTIF('Risks and Actions'!H6:H35,J30)</x:f>
        <x:v>0</x:v>
      </x:c>
      <x:c r="L30" s="2"/>
      <x:c r="M30" s="2"/>
      <x:c r="N30" s="2"/>
      <x:c r="O30" s="2"/>
      <x:c r="P30" s="2"/>
      <x:c r="Q30" s="2"/>
      <x:c r="R30" s="2"/>
      <x:c r="S30" s="2"/>
      <x:c r="T30" s="2"/>
      <x:c r="U30" s="2"/>
      <x:c r="V30" s="2"/>
      <x:c r="W30" s="2"/>
      <x:c r="X30" s="2"/>
      <x:c r="Y30" s="2"/>
      <x:c r="Z30" s="2"/>
    </x:row>
    <x:row r="31">
      <x:c r="A31" s="2" t="str">
        <x:v>Public agency</x:v>
      </x:c>
      <x:c r="B31" s="2" t="n">
        <x:f>COUNTIF(Institutions!C6:C35,A31)</x:f>
        <x:v>0</x:v>
      </x:c>
      <x:c r="C31" s="2"/>
      <x:c r="D31" s="2" t="str">
        <x:v>Sensor or machine generated</x:v>
      </x:c>
      <x:c r="E31" s="2" t="n">
        <x:f>COUNTIF('Data Assets'!D6:D45,D31)</x:f>
        <x:v>0</x:v>
      </x:c>
      <x:c r="F31" s="2"/>
      <x:c r="G31" s="17" t="str">
        <x:v>Critical</x:v>
      </x:c>
      <x:c r="H31" s="17" t="n">
        <x:f>COUNTIF('Data Flows'!N6:N45,"Critical")</x:f>
        <x:v>0</x:v>
      </x:c>
      <x:c r="I31" s="2"/>
      <x:c r="J31" s="17" t="str">
        <x:v>Blocked actions</x:v>
      </x:c>
      <x:c r="K31" s="17" t="n">
        <x:f>COUNTIF('Risks and Actions'!L6:L35,"Blocked")</x:f>
        <x:v>0</x:v>
      </x:c>
      <x:c r="L31" s="2"/>
      <x:c r="M31" s="2"/>
      <x:c r="N31" s="2"/>
      <x:c r="O31" s="2"/>
      <x:c r="P31" s="2"/>
      <x:c r="Q31" s="2"/>
      <x:c r="R31" s="2"/>
      <x:c r="S31" s="2"/>
      <x:c r="T31" s="2"/>
      <x:c r="U31" s="2"/>
      <x:c r="V31" s="2"/>
      <x:c r="W31" s="2"/>
      <x:c r="X31" s="2"/>
      <x:c r="Y31" s="2"/>
      <x:c r="Z31" s="2"/>
    </x:row>
    <x:row r="32">
      <x:c r="A32" s="2" t="str">
        <x:v>Regulator</x:v>
      </x:c>
      <x:c r="B32" s="2" t="n">
        <x:f>COUNTIF(Institutions!C6:C35,A32)</x:f>
        <x:v>0</x:v>
      </x:c>
      <x:c r="C32" s="2"/>
      <x:c r="D32" s="2" t="str">
        <x:v>Transaction or private-sector</x:v>
      </x:c>
      <x:c r="E32" s="2" t="n">
        <x:f>COUNTIF('Data Assets'!D6:D45,D32)</x:f>
        <x:v>0</x:v>
      </x:c>
      <x:c r="F32" s="2"/>
      <x:c r="G32" s="2"/>
      <x:c r="H32" s="2"/>
      <x:c r="I32" s="2"/>
      <x:c r="J32" s="2"/>
      <x:c r="K32" s="2"/>
      <x:c r="L32" s="2"/>
      <x:c r="M32" s="2"/>
      <x:c r="N32" s="2"/>
      <x:c r="O32" s="2"/>
      <x:c r="P32" s="2"/>
      <x:c r="Q32" s="2"/>
      <x:c r="R32" s="2"/>
      <x:c r="S32" s="2"/>
      <x:c r="T32" s="2"/>
      <x:c r="U32" s="2"/>
      <x:c r="V32" s="2"/>
      <x:c r="W32" s="2"/>
      <x:c r="X32" s="2"/>
      <x:c r="Y32" s="2"/>
      <x:c r="Z32" s="2"/>
    </x:row>
    <x:row r="33">
      <x:c r="A33" s="2" t="str">
        <x:v>Research institution</x:v>
      </x:c>
      <x:c r="B33" s="2" t="n">
        <x:f>COUNTIF(Institutions!C6:C35,A33)</x:f>
        <x:v>0</x:v>
      </x:c>
      <x:c r="C33" s="2"/>
      <x:c r="D33" s="2" t="str">
        <x:v>Integrated or linked source</x:v>
      </x:c>
      <x:c r="E33" s="2" t="n">
        <x:f>COUNTIF('Data Assets'!D6:D45,D33)</x:f>
        <x:v>0</x:v>
      </x:c>
      <x:c r="F33" s="2"/>
      <x:c r="G33" s="2"/>
      <x:c r="H33" s="2"/>
      <x:c r="I33" s="2"/>
      <x:c r="J33" s="2"/>
      <x:c r="K33" s="2"/>
      <x:c r="L33" s="2"/>
      <x:c r="M33" s="2"/>
      <x:c r="N33" s="2"/>
      <x:c r="O33" s="2"/>
      <x:c r="P33" s="2"/>
      <x:c r="Q33" s="2"/>
      <x:c r="R33" s="2"/>
      <x:c r="S33" s="2"/>
      <x:c r="T33" s="2"/>
      <x:c r="U33" s="2"/>
      <x:c r="V33" s="2"/>
      <x:c r="W33" s="2"/>
      <x:c r="X33" s="2"/>
      <x:c r="Y33" s="2"/>
      <x:c r="Z33" s="2"/>
    </x:row>
    <x:row r="34">
      <x:c r="A34" s="2" t="str">
        <x:v>University</x:v>
      </x:c>
      <x:c r="B34" s="2" t="n">
        <x:f>COUNTIF(Institutions!C6:C35,A34)</x:f>
        <x:v>0</x:v>
      </x:c>
      <x:c r="C34" s="2"/>
      <x:c r="D34" s="17" t="str">
        <x:v>Other</x:v>
      </x:c>
      <x:c r="E34" s="17" t="n">
        <x:f>COUNTIF('Data Assets'!D6:D45,D34)</x:f>
        <x:v>0</x:v>
      </x:c>
      <x:c r="F34" s="2"/>
      <x:c r="G34" s="2"/>
      <x:c r="H34" s="2"/>
      <x:c r="I34" s="2"/>
      <x:c r="J34" s="2"/>
      <x:c r="K34" s="2"/>
      <x:c r="L34" s="2"/>
      <x:c r="M34" s="2"/>
      <x:c r="N34" s="2"/>
      <x:c r="O34" s="2"/>
      <x:c r="P34" s="2"/>
      <x:c r="Q34" s="2"/>
      <x:c r="R34" s="2"/>
      <x:c r="S34" s="2"/>
      <x:c r="T34" s="2"/>
      <x:c r="U34" s="2"/>
      <x:c r="V34" s="2"/>
      <x:c r="W34" s="2"/>
      <x:c r="X34" s="2"/>
      <x:c r="Y34" s="2"/>
      <x:c r="Z34" s="2"/>
    </x:row>
    <x:row r="35">
      <x:c r="A35" s="2" t="str">
        <x:v>Private provider</x:v>
      </x:c>
      <x:c r="B35" s="2" t="n">
        <x:f>COUNTIF(Institutions!C6:C35,A35)</x:f>
        <x:v>0</x:v>
      </x:c>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t="str">
        <x:v>International organization</x:v>
      </x:c>
      <x:c r="B36" s="2" t="n">
        <x:f>COUNTIF(Institutions!C6:C35,A36)</x:f>
        <x:v>0</x:v>
      </x:c>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t="str">
        <x:v>Civil society</x:v>
      </x:c>
      <x:c r="B37" s="2" t="n">
        <x:f>COUNTIF(Institutions!C6:C35,A37)</x:f>
        <x:v>0</x:v>
      </x:c>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17" t="str">
        <x:v>Other</x:v>
      </x:c>
      <x:c r="B38" s="17" t="n">
        <x:f>COUNTIF(Institutions!C6:C35,A38)</x:f>
        <x:v>0</x:v>
      </x:c>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38" customHeight="1">
      <x:c r="A42" s="12" t="str">
        <x:v>Interpretation: counts show what is recorded, not necessarily the full national reality. Resolve missing institutions, unknown data ownership and undocumented flows before using the map for investment or AI-pilot decisions.</x:v>
      </x:c>
      <x:c r="B42" s="12"/>
      <x:c r="C42" s="12"/>
      <x:c r="D42" s="12"/>
      <x:c r="E42" s="12"/>
      <x:c r="F42" s="12"/>
      <x:c r="G42" s="12"/>
      <x:c r="H42" s="12"/>
      <x:c r="I42" s="12"/>
      <x:c r="J42" s="12"/>
      <x:c r="K42" s="12"/>
      <x:c r="L42" s="1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57" t="str">
        <x:v>AI assisted work control status</x:v>
      </x:c>
      <x:c r="B45" s="57"/>
      <x:c r="C45" s="57"/>
      <x:c r="D45" s="57"/>
      <x:c r="E45" s="57"/>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34" customHeight="1">
      <x:c r="A47" s="31" t="str">
        <x:v>Measure</x:v>
      </x:c>
      <x:c r="B47" s="31" t="str">
        <x:v>Count</x:v>
      </x:c>
      <x:c r="C47" s="2"/>
      <x:c r="D47" s="31" t="str">
        <x:v>Mandatory review rule</x:v>
      </x:c>
      <x:c r="E47" s="31" t="str">
        <x:v>Status</x:v>
      </x:c>
      <x:c r="F47" s="2"/>
      <x:c r="G47" s="2"/>
      <x:c r="H47" s="2"/>
      <x:c r="I47" s="2"/>
      <x:c r="J47" s="2"/>
      <x:c r="K47" s="2"/>
      <x:c r="L47" s="2"/>
      <x:c r="M47" s="2"/>
      <x:c r="N47" s="2"/>
      <x:c r="O47" s="2"/>
      <x:c r="P47" s="2"/>
      <x:c r="Q47" s="2"/>
      <x:c r="R47" s="2"/>
      <x:c r="S47" s="2"/>
      <x:c r="T47" s="2"/>
      <x:c r="U47" s="2"/>
      <x:c r="V47" s="2"/>
      <x:c r="W47" s="2"/>
      <x:c r="X47" s="2"/>
      <x:c r="Y47" s="2"/>
      <x:c r="Z47" s="2"/>
    </x:row>
    <x:row r="48">
      <x:c r="A48" s="34" t="str">
        <x:v>AI work records</x:v>
      </x:c>
      <x:c r="B48" s="34" t="n">
        <x:f>Assurance!B7</x:f>
        <x:v>0</x:v>
      </x:c>
      <x:c r="C48" s="2"/>
      <x:c r="D48" s="34" t="str">
        <x:v>Information classified</x:v>
      </x:c>
      <x:c r="E48" s="34" t="str">
        <x:v>Review Assurance</x:v>
      </x:c>
      <x:c r="F48" s="2"/>
      <x:c r="G48" s="2"/>
      <x:c r="H48" s="2"/>
      <x:c r="I48" s="2"/>
      <x:c r="J48" s="2"/>
      <x:c r="K48" s="2"/>
      <x:c r="L48" s="2"/>
      <x:c r="M48" s="2"/>
      <x:c r="N48" s="2"/>
      <x:c r="O48" s="2"/>
      <x:c r="P48" s="2"/>
      <x:c r="Q48" s="2"/>
      <x:c r="R48" s="2"/>
      <x:c r="S48" s="2"/>
      <x:c r="T48" s="2"/>
      <x:c r="U48" s="2"/>
      <x:c r="V48" s="2"/>
      <x:c r="W48" s="2"/>
      <x:c r="X48" s="2"/>
      <x:c r="Y48" s="2"/>
      <x:c r="Z48" s="2"/>
    </x:row>
    <x:row r="49">
      <x:c r="A49" s="34" t="str">
        <x:v>Accepted quality records</x:v>
      </x:c>
      <x:c r="B49" s="34" t="n">
        <x:f>Assurance!B8</x:f>
        <x:v>0</x:v>
      </x:c>
      <x:c r="C49" s="2"/>
      <x:c r="D49" s="34" t="str">
        <x:v>Independent verification</x:v>
      </x:c>
      <x:c r="E49" s="34" t="str">
        <x:v>Review Assurance</x:v>
      </x:c>
      <x:c r="F49" s="2"/>
      <x:c r="G49" s="2"/>
      <x:c r="H49" s="2"/>
      <x:c r="I49" s="2"/>
      <x:c r="J49" s="2"/>
      <x:c r="K49" s="2"/>
      <x:c r="L49" s="2"/>
      <x:c r="M49" s="2"/>
      <x:c r="N49" s="2"/>
      <x:c r="O49" s="2"/>
      <x:c r="P49" s="2"/>
      <x:c r="Q49" s="2"/>
      <x:c r="R49" s="2"/>
      <x:c r="S49" s="2"/>
      <x:c r="T49" s="2"/>
      <x:c r="U49" s="2"/>
      <x:c r="V49" s="2"/>
      <x:c r="W49" s="2"/>
      <x:c r="X49" s="2"/>
      <x:c r="Y49" s="2"/>
      <x:c r="Z49" s="2"/>
    </x:row>
    <x:row r="50">
      <x:c r="A50" s="34" t="str">
        <x:v>Rejected or stopped records</x:v>
      </x:c>
      <x:c r="B50" s="34" t="n">
        <x:f>Assurance!B9</x:f>
        <x:v>0</x:v>
      </x:c>
      <x:c r="C50" s="2"/>
      <x:c r="D50" s="34" t="str">
        <x:v>Failures corrected</x:v>
      </x:c>
      <x:c r="E50" s="34" t="str">
        <x:v>Review AI Work Record</x:v>
      </x:c>
      <x:c r="F50" s="2"/>
      <x:c r="G50" s="2"/>
      <x:c r="H50" s="2"/>
      <x:c r="I50" s="2"/>
      <x:c r="J50" s="2"/>
      <x:c r="K50" s="2"/>
      <x:c r="L50" s="2"/>
      <x:c r="M50" s="2"/>
      <x:c r="N50" s="2"/>
      <x:c r="O50" s="2"/>
      <x:c r="P50" s="2"/>
      <x:c r="Q50" s="2"/>
      <x:c r="R50" s="2"/>
      <x:c r="S50" s="2"/>
      <x:c r="T50" s="2"/>
      <x:c r="U50" s="2"/>
      <x:c r="V50" s="2"/>
      <x:c r="W50" s="2"/>
      <x:c r="X50" s="2"/>
      <x:c r="Y50" s="2"/>
      <x:c r="Z50" s="2"/>
    </x:row>
    <x:row r="51">
      <x:c r="A51" s="34" t="str">
        <x:v>Prompt records</x:v>
      </x:c>
      <x:c r="B51" s="34" t="n">
        <x:f>Assurance!B10</x:f>
        <x:v>0</x:v>
      </x:c>
      <x:c r="C51" s="2"/>
      <x:c r="D51" s="34" t="str">
        <x:v>Statistician decision</x:v>
      </x:c>
      <x:c r="E51" s="34" t="str">
        <x:v>Review AI Work Record</x:v>
      </x:c>
      <x:c r="F51" s="2"/>
      <x:c r="G51" s="2"/>
      <x:c r="H51" s="2"/>
      <x:c r="I51" s="2"/>
      <x:c r="J51" s="2"/>
      <x:c r="K51" s="2"/>
      <x:c r="L51" s="2"/>
      <x:c r="M51" s="2"/>
      <x:c r="N51" s="2"/>
      <x:c r="O51" s="2"/>
      <x:c r="P51" s="2"/>
      <x:c r="Q51" s="2"/>
      <x:c r="R51" s="2"/>
      <x:c r="S51" s="2"/>
      <x:c r="T51" s="2"/>
      <x:c r="U51" s="2"/>
      <x:c r="V51" s="2"/>
      <x:c r="W51" s="2"/>
      <x:c r="X51" s="2"/>
      <x:c r="Y51" s="2"/>
      <x:c r="Z51" s="2"/>
    </x:row>
    <x:row r="52">
      <x:c r="A52" s="34" t="str">
        <x:v>Independent verification records</x:v>
      </x:c>
      <x:c r="B52" s="34" t="n">
        <x:f>Assurance!B11</x:f>
        <x:v>0</x:v>
      </x:c>
      <x:c r="C52" s="2"/>
      <x:c r="D52" s="34" t="str">
        <x:v>Specialist decision</x:v>
      </x:c>
      <x:c r="E52" s="34" t="str">
        <x:v>Review AI Work Record</x:v>
      </x:c>
      <x:c r="F52" s="2"/>
      <x:c r="G52" s="2"/>
      <x:c r="H52" s="2"/>
      <x:c r="I52" s="2"/>
      <x:c r="J52" s="2"/>
      <x:c r="K52" s="2"/>
      <x:c r="L52" s="2"/>
      <x:c r="M52" s="2"/>
      <x:c r="N52" s="2"/>
      <x:c r="O52" s="2"/>
      <x:c r="P52" s="2"/>
      <x:c r="Q52" s="2"/>
      <x:c r="R52" s="2"/>
      <x:c r="S52" s="2"/>
      <x:c r="T52" s="2"/>
      <x:c r="U52" s="2"/>
      <x:c r="V52" s="2"/>
      <x:c r="W52" s="2"/>
      <x:c r="X52" s="2"/>
      <x:c r="Y52" s="2"/>
      <x:c r="Z52" s="2"/>
    </x:row>
    <x:row r="53">
      <x:c r="A53" s="34" t="str">
        <x:v>Statistician decisions</x:v>
      </x:c>
      <x:c r="B53" s="34" t="n">
        <x:f>Assurance!B12</x:f>
        <x:v>0</x:v>
      </x:c>
      <x:c r="C53" s="2"/>
      <x:c r="D53" s="34" t="str">
        <x:v>Stopping rule</x:v>
      </x:c>
      <x:c r="E53" s="34" t="str">
        <x:v>Review AI Work Record</x:v>
      </x:c>
      <x:c r="F53" s="2"/>
      <x:c r="G53" s="2"/>
      <x:c r="H53" s="2"/>
      <x:c r="I53" s="2"/>
      <x:c r="J53" s="2"/>
      <x:c r="K53" s="2"/>
      <x:c r="L53" s="2"/>
      <x:c r="M53" s="2"/>
      <x:c r="N53" s="2"/>
      <x:c r="O53" s="2"/>
      <x:c r="P53" s="2"/>
      <x:c r="Q53" s="2"/>
      <x:c r="R53" s="2"/>
      <x:c r="S53" s="2"/>
      <x:c r="T53" s="2"/>
      <x:c r="U53" s="2"/>
      <x:c r="V53" s="2"/>
      <x:c r="W53" s="2"/>
      <x:c r="X53" s="2"/>
      <x:c r="Y53" s="2"/>
      <x:c r="Z53" s="2"/>
    </x:row>
    <x:row r="54">
      <x:c r="A54" s="34" t="str">
        <x:v>Subject specialist decisions</x:v>
      </x:c>
      <x:c r="B54" s="34" t="n">
        <x:f>Assurance!B13</x:f>
        <x:v>0</x:v>
      </x:c>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63" t="str">
        <x:v>AI efficiency is quality adjusted. Time saved receives no credit when verification, correction, information protection, statistical validity or required specialist review is weakened.</x:v>
      </x:c>
      <x:c r="B56" s="63"/>
      <x:c r="C56" s="63"/>
      <x:c r="D56" s="63"/>
      <x:c r="E56" s="63"/>
      <x:c r="F56" s="63"/>
      <x:c r="G56" s="63"/>
      <x:c r="H56" s="63"/>
      <x:c r="I56" s="63"/>
      <x:c r="J56" s="63"/>
      <x:c r="K56" s="63"/>
      <x:c r="L56" s="2"/>
      <x:c r="M56" s="2"/>
      <x:c r="N56" s="2"/>
      <x:c r="O56" s="2"/>
      <x:c r="P56" s="2"/>
      <x:c r="Q56" s="2"/>
      <x:c r="R56" s="2"/>
      <x:c r="S56" s="2"/>
      <x:c r="T56" s="2"/>
      <x:c r="U56" s="2"/>
      <x:c r="V56" s="2"/>
      <x:c r="W56" s="2"/>
      <x:c r="X56" s="2"/>
      <x:c r="Y56" s="2"/>
      <x:c r="Z56" s="2"/>
    </x:row>
    <x:row r="57">
      <x:c r="A57" s="63"/>
      <x:c r="B57" s="63"/>
      <x:c r="C57" s="63"/>
      <x:c r="D57" s="63"/>
      <x:c r="E57" s="63"/>
      <x:c r="F57" s="63"/>
      <x:c r="G57" s="63"/>
      <x:c r="H57" s="63"/>
      <x:c r="I57" s="63"/>
      <x:c r="J57" s="63"/>
      <x:c r="K57" s="63"/>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L2"/>
    <x:mergeCell ref="A3:L3"/>
    <x:mergeCell ref="A12:L12"/>
    <x:mergeCell ref="A24:L24"/>
    <x:mergeCell ref="A42:L42"/>
    <x:mergeCell ref="A45:E45"/>
    <x:mergeCell ref="A56:K57"/>
  </x:mergeCells>
  <x:conditionalFormatting sqref="E15:E20">
    <x:cfRule type="cellIs" dxfId="1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0F6B69"/>
  </x:sheetPr>
  <x:sheetViews>
    <x:sheetView showGridLines="0" workbookViewId="0">
      <x:pane xSplit="2" ySplit="5" topLeftCell="C6" activePane="bottomRight" state="frozen"/>
    </x:sheetView>
  </x:sheetViews>
  <x:sheetFormatPr defaultRowHeight="15"/>
  <x:cols>
    <x:col min="1" max="1" width="15" hidden="0" customWidth="1"/>
    <x:col min="2" max="2" width="30" hidden="0" customWidth="1"/>
    <x:col min="3" max="3" width="24" hidden="0" customWidth="1"/>
    <x:col min="4" max="4" width="24" hidden="0" customWidth="1"/>
    <x:col min="5" max="5" width="27" hidden="0" customWidth="1"/>
    <x:col min="6" max="6" width="38" hidden="0" customWidth="1"/>
    <x:col min="7" max="7" width="20" hidden="0" customWidth="1"/>
    <x:col min="8" max="8" width="25" hidden="0" customWidth="1"/>
    <x:col min="9" max="9" width="30" hidden="0" customWidth="1"/>
    <x:col min="10" max="10" width="30" hidden="0" customWidth="1"/>
    <x:col min="11" max="11" width="34" hidden="0" customWidth="1"/>
    <x:col min="12" max="12" width="24" hidden="0" customWidth="1"/>
    <x:col min="13" max="13" width="1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Institutions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Register every producer, data holder, coordinator, research body, user and relevant service provider in scope.</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Institution ID</x:v>
      </x:c>
      <x:c r="B5" s="8" t="str">
        <x:v>Institution name</x:v>
      </x:c>
      <x:c r="C5" s="8" t="str">
        <x:v>Institution type</x:v>
      </x:c>
      <x:c r="D5" s="8" t="str">
        <x:v>Sector or domain</x:v>
      </x:c>
      <x:c r="E5" s="8" t="str">
        <x:v>Primary ecosystem role</x:v>
      </x:c>
      <x:c r="F5" s="8" t="str">
        <x:v>Legal mandate or authority</x:v>
      </x:c>
      <x:c r="G5" s="8" t="str">
        <x:v>Geographic level</x:v>
      </x:c>
      <x:c r="H5" s="8" t="str">
        <x:v>Lead contact or unit</x:v>
      </x:c>
      <x:c r="I5" s="8" t="str">
        <x:v>Coordination mechanism</x:v>
      </x:c>
      <x:c r="J5" s="8" t="str">
        <x:v>Key systems or platforms</x:v>
      </x:c>
      <x:c r="K5" s="8" t="str">
        <x:v>Human or financial constraints</x:v>
      </x:c>
      <x:c r="L5" s="8" t="str">
        <x:v>Evidence reference</x:v>
      </x:c>
      <x:c r="M5" s="8" t="str">
        <x:v>Record status</x:v>
      </x:c>
      <x:c r="N5" s="2"/>
      <x:c r="O5" s="2"/>
      <x:c r="P5" s="2"/>
      <x:c r="Q5" s="2"/>
      <x:c r="R5" s="2"/>
      <x:c r="S5" s="2"/>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2"/>
      <x:c r="O6" s="2"/>
      <x:c r="P6" s="2"/>
      <x:c r="Q6" s="2"/>
      <x:c r="R6" s="2"/>
      <x:c r="S6" s="2"/>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2"/>
      <x:c r="O7" s="2"/>
      <x:c r="P7" s="2"/>
      <x:c r="Q7" s="2"/>
      <x:c r="R7" s="2"/>
      <x:c r="S7" s="2"/>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2"/>
      <x:c r="O8" s="2"/>
      <x:c r="P8" s="2"/>
      <x:c r="Q8" s="2"/>
      <x:c r="R8" s="2"/>
      <x:c r="S8" s="2"/>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2"/>
      <x:c r="O9" s="2"/>
      <x:c r="P9" s="2"/>
      <x:c r="Q9" s="2"/>
      <x:c r="R9" s="2"/>
      <x:c r="S9" s="2"/>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2"/>
      <x:c r="O10" s="2"/>
      <x:c r="P10" s="2"/>
      <x:c r="Q10" s="2"/>
      <x:c r="R10" s="2"/>
      <x:c r="S10" s="2"/>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2"/>
      <x:c r="O11" s="2"/>
      <x:c r="P11" s="2"/>
      <x:c r="Q11" s="2"/>
      <x:c r="R11" s="2"/>
      <x:c r="S11" s="2"/>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2"/>
      <x:c r="O12" s="2"/>
      <x:c r="P12" s="2"/>
      <x:c r="Q12" s="2"/>
      <x:c r="R12" s="2"/>
      <x:c r="S12" s="2"/>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2"/>
      <x:c r="O13" s="2"/>
      <x:c r="P13" s="2"/>
      <x:c r="Q13" s="2"/>
      <x:c r="R13" s="2"/>
      <x:c r="S13" s="2"/>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2"/>
      <x:c r="O14" s="2"/>
      <x:c r="P14" s="2"/>
      <x:c r="Q14" s="2"/>
      <x:c r="R14" s="2"/>
      <x:c r="S14" s="2"/>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2"/>
      <x:c r="O15" s="2"/>
      <x:c r="P15" s="2"/>
      <x:c r="Q15" s="2"/>
      <x:c r="R15" s="2"/>
      <x:c r="S15" s="2"/>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2"/>
      <x:c r="O16" s="2"/>
      <x:c r="P16" s="2"/>
      <x:c r="Q16" s="2"/>
      <x:c r="R16" s="2"/>
      <x:c r="S16" s="2"/>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2"/>
      <x:c r="O17" s="2"/>
      <x:c r="P17" s="2"/>
      <x:c r="Q17" s="2"/>
      <x:c r="R17" s="2"/>
      <x:c r="S17" s="2"/>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2"/>
      <x:c r="O18" s="2"/>
      <x:c r="P18" s="2"/>
      <x:c r="Q18" s="2"/>
      <x:c r="R18" s="2"/>
      <x:c r="S18" s="2"/>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2"/>
      <x:c r="O19" s="2"/>
      <x:c r="P19" s="2"/>
      <x:c r="Q19" s="2"/>
      <x:c r="R19" s="2"/>
      <x:c r="S19" s="2"/>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2"/>
      <x:c r="O20" s="2"/>
      <x:c r="P20" s="2"/>
      <x:c r="Q20" s="2"/>
      <x:c r="R20" s="2"/>
      <x:c r="S20" s="2"/>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2"/>
      <x:c r="O21" s="2"/>
      <x:c r="P21" s="2"/>
      <x:c r="Q21" s="2"/>
      <x:c r="R21" s="2"/>
      <x:c r="S21" s="2"/>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2"/>
      <x:c r="O22" s="2"/>
      <x:c r="P22" s="2"/>
      <x:c r="Q22" s="2"/>
      <x:c r="R22" s="2"/>
      <x:c r="S22" s="2"/>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2"/>
      <x:c r="O23" s="2"/>
      <x:c r="P23" s="2"/>
      <x:c r="Q23" s="2"/>
      <x:c r="R23" s="2"/>
      <x:c r="S23" s="2"/>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2"/>
      <x:c r="O24" s="2"/>
      <x:c r="P24" s="2"/>
      <x:c r="Q24" s="2"/>
      <x:c r="R24" s="2"/>
      <x:c r="S24" s="2"/>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2"/>
      <x:c r="O25" s="2"/>
      <x:c r="P25" s="2"/>
      <x:c r="Q25" s="2"/>
      <x:c r="R25" s="2"/>
      <x:c r="S25" s="2"/>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2"/>
      <x:c r="O26" s="2"/>
      <x:c r="P26" s="2"/>
      <x:c r="Q26" s="2"/>
      <x:c r="R26" s="2"/>
      <x:c r="S26" s="2"/>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2"/>
      <x:c r="O27" s="2"/>
      <x:c r="P27" s="2"/>
      <x:c r="Q27" s="2"/>
      <x:c r="R27" s="2"/>
      <x:c r="S27" s="2"/>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2"/>
      <x:c r="O28" s="2"/>
      <x:c r="P28" s="2"/>
      <x:c r="Q28" s="2"/>
      <x:c r="R28" s="2"/>
      <x:c r="S28" s="2"/>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2"/>
      <x:c r="O29" s="2"/>
      <x:c r="P29" s="2"/>
      <x:c r="Q29" s="2"/>
      <x:c r="R29" s="2"/>
      <x:c r="S29" s="2"/>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2"/>
      <x:c r="O30" s="2"/>
      <x:c r="P30" s="2"/>
      <x:c r="Q30" s="2"/>
      <x:c r="R30" s="2"/>
      <x:c r="S30" s="2"/>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2"/>
      <x:c r="O31" s="2"/>
      <x:c r="P31" s="2"/>
      <x:c r="Q31" s="2"/>
      <x:c r="R31" s="2"/>
      <x:c r="S31" s="2"/>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2"/>
      <x:c r="O32" s="2"/>
      <x:c r="P32" s="2"/>
      <x:c r="Q32" s="2"/>
      <x:c r="R32" s="2"/>
      <x:c r="S32" s="2"/>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2"/>
      <x:c r="O33" s="2"/>
      <x:c r="P33" s="2"/>
      <x:c r="Q33" s="2"/>
      <x:c r="R33" s="2"/>
      <x:c r="S33" s="2"/>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2"/>
      <x:c r="O34" s="2"/>
      <x:c r="P34" s="2"/>
      <x:c r="Q34" s="2"/>
      <x:c r="R34" s="2"/>
      <x:c r="S34" s="2"/>
      <x:c r="T34" s="2"/>
      <x:c r="U34" s="2"/>
      <x:c r="V34" s="2"/>
      <x:c r="W34" s="2"/>
      <x:c r="X34" s="2"/>
      <x:c r="Y34" s="2"/>
      <x:c r="Z34" s="2"/>
    </x:row>
    <x:row r="35" ht="38" customHeight="1">
      <x:c r="A35" s="11" t="str"/>
      <x:c r="B35" s="11" t="str"/>
      <x:c r="C35" s="11" t="str"/>
      <x:c r="D35" s="11" t="str"/>
      <x:c r="E35" s="11" t="str"/>
      <x:c r="F35" s="11" t="str"/>
      <x:c r="G35" s="11" t="str"/>
      <x:c r="H35" s="11" t="str"/>
      <x:c r="I35" s="11" t="str"/>
      <x:c r="J35" s="11" t="str"/>
      <x:c r="K35" s="11" t="str"/>
      <x:c r="L35" s="11" t="str"/>
      <x:c r="M35" s="11" t="str"/>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M6:M35">
    <x:cfRule type="containsText" dxfId="0" priority="1" operator="containsText" text="Needs verification"/>
  </x:conditionalFormatting>
  <x:dataValidations count="4">
    <x:dataValidation type="list" sqref="C6:C35">
      <x:formula1>"National statistical office,Ministry or department,Central bank,Local government,Public agency,Regulator,Research institution,University,Private provider,International organization,Civil society,Other"</x:formula1>
    </x:dataValidation>
    <x:dataValidation type="list" sqref="E6:E35">
      <x:formula1>"Statistical producer,Administrative data holder,Coordinator or standard setter,Research or innovation body,Primary user,Regulator or oversight,Technology or service provider,Multiple roles"</x:formula1>
    </x:dataValidation>
    <x:dataValidation type="list" sqref="G6:G35">
      <x:formula1>"National,Regional or provincial,District or local,Multi-level,International"</x:formula1>
    </x:dataValidation>
    <x:dataValidation type="list" sqref="M6:M35">
      <x:formula1>"Draft,Validated,Needs verification,Out of scope"</x:formula1>
    </x:dataValidation>
  </x:dataValidations>
  <x:pageMargins left="0.7" right="0.7" top="0.75" bottom="0.75" header="0.3" footer="0.3"/>
</x:worksheet>
</file>

<file path=xl/worksheets/sheet3.xml><?xml version="1.0" encoding="utf-8"?>
<x:worksheet xmlns:x="http://schemas.openxmlformats.org/spreadsheetml/2006/main">
  <x:sheetPr>
    <x:tabColor rgb="FF4F81BD"/>
  </x:sheetPr>
  <x:sheetViews>
    <x:sheetView showGridLines="0" workbookViewId="0">
      <x:pane xSplit="3" ySplit="5" topLeftCell="D6" activePane="bottomRight" state="frozen"/>
    </x:sheetView>
  </x:sheetViews>
  <x:sheetFormatPr defaultRowHeight="15"/>
  <x:cols>
    <x:col min="1" max="1" width="14" hidden="0" customWidth="1"/>
    <x:col min="2" max="2" width="30" hidden="0" customWidth="1"/>
    <x:col min="3" max="3" width="20" hidden="0" customWidth="1"/>
    <x:col min="4" max="4" width="27" hidden="0" customWidth="1"/>
    <x:col min="5" max="5" width="22" hidden="0" customWidth="1"/>
    <x:col min="6" max="6" width="30" hidden="0" customWidth="1"/>
    <x:col min="7" max="7" width="15" hidden="0" customWidth="1"/>
    <x:col min="8" max="8" width="24" hidden="0" customWidth="1"/>
    <x:col min="9" max="9" width="18" hidden="0" customWidth="1"/>
    <x:col min="10" max="10" width="32" hidden="0" customWidth="1"/>
    <x:col min="11" max="11" width="19" hidden="0" customWidth="1"/>
    <x:col min="12" max="12" width="23" hidden="0" customWidth="1"/>
    <x:col min="13" max="13" width="18" hidden="0" customWidth="1"/>
    <x:col min="14" max="14" width="18" hidden="0" customWidth="1"/>
    <x:col min="15" max="15" width="28" hidden="0" customWidth="1"/>
    <x:col min="16" max="16" width="22" hidden="0" customWidth="1"/>
    <x:col min="17" max="17" width="19" hidden="0" customWidth="1"/>
    <x:col min="18" max="18" width="20" hidden="0" customWidth="1"/>
    <x:col min="19" max="19"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Data Assets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Inventory statistical, administrative, survey, census, research, geospatial and other data assets.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Asset ID</x:v>
      </x:c>
      <x:c r="B5" s="8" t="str">
        <x:v>Asset name</x:v>
      </x:c>
      <x:c r="C5" s="8" t="str">
        <x:v>Owner institution ID</x:v>
      </x:c>
      <x:c r="D5" s="8" t="str">
        <x:v>Source category</x:v>
      </x:c>
      <x:c r="E5" s="8" t="str">
        <x:v>Sector or domain</x:v>
      </x:c>
      <x:c r="F5" s="8" t="str">
        <x:v>Statistical unit or population</x:v>
      </x:c>
      <x:c r="G5" s="8" t="str">
        <x:v>Frequency</x:v>
      </x:c>
      <x:c r="H5" s="8" t="str">
        <x:v>Geographic coverage</x:v>
      </x:c>
      <x:c r="I5" s="8" t="str">
        <x:v>Reference period</x:v>
      </x:c>
      <x:c r="J5" s="8" t="str">
        <x:v>Legal basis or agreement</x:v>
      </x:c>
      <x:c r="K5" s="8" t="str">
        <x:v>Sensitivity</x:v>
      </x:c>
      <x:c r="L5" s="8" t="str">
        <x:v>Quality status</x:v>
      </x:c>
      <x:c r="M5" s="8" t="str">
        <x:v>Metadata status</x:v>
      </x:c>
      <x:c r="N5" s="8" t="str">
        <x:v>Primary format</x:v>
      </x:c>
      <x:c r="O5" s="8" t="str">
        <x:v>Access conditions</x:v>
      </x:c>
      <x:c r="P5" s="8" t="str">
        <x:v>Custodian</x:v>
      </x:c>
      <x:c r="Q5" s="8" t="str">
        <x:v>Research or experimental</x:v>
      </x:c>
      <x:c r="R5" s="8" t="str">
        <x:v>Potential AI relevance</x:v>
      </x:c>
      <x:c r="S5" s="8" t="str">
        <x:v>Evidence reference</x:v>
      </x:c>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10" t="str"/>
      <x:c r="O6" s="10" t="str"/>
      <x:c r="P6" s="10" t="str"/>
      <x:c r="Q6" s="10" t="str"/>
      <x:c r="R6" s="10" t="str"/>
      <x:c r="S6" s="10" t="str"/>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10" t="str"/>
      <x:c r="O7" s="10" t="str"/>
      <x:c r="P7" s="10" t="str"/>
      <x:c r="Q7" s="10" t="str"/>
      <x:c r="R7" s="10" t="str"/>
      <x:c r="S7" s="10" t="str"/>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10" t="str"/>
      <x:c r="O8" s="10" t="str"/>
      <x:c r="P8" s="10" t="str"/>
      <x:c r="Q8" s="10" t="str"/>
      <x:c r="R8" s="10" t="str"/>
      <x:c r="S8" s="10" t="str"/>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10" t="str"/>
      <x:c r="O9" s="10" t="str"/>
      <x:c r="P9" s="10" t="str"/>
      <x:c r="Q9" s="10" t="str"/>
      <x:c r="R9" s="10" t="str"/>
      <x:c r="S9" s="10" t="str"/>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10" t="str"/>
      <x:c r="O10" s="10" t="str"/>
      <x:c r="P10" s="10" t="str"/>
      <x:c r="Q10" s="10" t="str"/>
      <x:c r="R10" s="10" t="str"/>
      <x:c r="S10" s="10" t="str"/>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10" t="str"/>
      <x:c r="O11" s="10" t="str"/>
      <x:c r="P11" s="10" t="str"/>
      <x:c r="Q11" s="10" t="str"/>
      <x:c r="R11" s="10" t="str"/>
      <x:c r="S11" s="10" t="str"/>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10" t="str"/>
      <x:c r="O12" s="10" t="str"/>
      <x:c r="P12" s="10" t="str"/>
      <x:c r="Q12" s="10" t="str"/>
      <x:c r="R12" s="10" t="str"/>
      <x:c r="S12" s="10" t="str"/>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10" t="str"/>
      <x:c r="O13" s="10" t="str"/>
      <x:c r="P13" s="10" t="str"/>
      <x:c r="Q13" s="10" t="str"/>
      <x:c r="R13" s="10" t="str"/>
      <x:c r="S13" s="10" t="str"/>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10" t="str"/>
      <x:c r="O14" s="10" t="str"/>
      <x:c r="P14" s="10" t="str"/>
      <x:c r="Q14" s="10" t="str"/>
      <x:c r="R14" s="10" t="str"/>
      <x:c r="S14" s="10" t="str"/>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10" t="str"/>
      <x:c r="O15" s="10" t="str"/>
      <x:c r="P15" s="10" t="str"/>
      <x:c r="Q15" s="10" t="str"/>
      <x:c r="R15" s="10" t="str"/>
      <x:c r="S15" s="10" t="str"/>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10" t="str"/>
      <x:c r="O16" s="10" t="str"/>
      <x:c r="P16" s="10" t="str"/>
      <x:c r="Q16" s="10" t="str"/>
      <x:c r="R16" s="10" t="str"/>
      <x:c r="S16" s="10" t="str"/>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10" t="str"/>
      <x:c r="O17" s="10" t="str"/>
      <x:c r="P17" s="10" t="str"/>
      <x:c r="Q17" s="10" t="str"/>
      <x:c r="R17" s="10" t="str"/>
      <x:c r="S17" s="10" t="str"/>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10" t="str"/>
      <x:c r="O18" s="10" t="str"/>
      <x:c r="P18" s="10" t="str"/>
      <x:c r="Q18" s="10" t="str"/>
      <x:c r="R18" s="10" t="str"/>
      <x:c r="S18" s="10" t="str"/>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10" t="str"/>
      <x:c r="O19" s="10" t="str"/>
      <x:c r="P19" s="10" t="str"/>
      <x:c r="Q19" s="10" t="str"/>
      <x:c r="R19" s="10" t="str"/>
      <x:c r="S19" s="10" t="str"/>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10" t="str"/>
      <x:c r="O20" s="10" t="str"/>
      <x:c r="P20" s="10" t="str"/>
      <x:c r="Q20" s="10" t="str"/>
      <x:c r="R20" s="10" t="str"/>
      <x:c r="S20" s="10" t="str"/>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10" t="str"/>
      <x:c r="O21" s="10" t="str"/>
      <x:c r="P21" s="10" t="str"/>
      <x:c r="Q21" s="10" t="str"/>
      <x:c r="R21" s="10" t="str"/>
      <x:c r="S21" s="10" t="str"/>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10" t="str"/>
      <x:c r="O22" s="10" t="str"/>
      <x:c r="P22" s="10" t="str"/>
      <x:c r="Q22" s="10" t="str"/>
      <x:c r="R22" s="10" t="str"/>
      <x:c r="S22" s="10" t="str"/>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10" t="str"/>
      <x:c r="O23" s="10" t="str"/>
      <x:c r="P23" s="10" t="str"/>
      <x:c r="Q23" s="10" t="str"/>
      <x:c r="R23" s="10" t="str"/>
      <x:c r="S23" s="10" t="str"/>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10" t="str"/>
      <x:c r="O24" s="10" t="str"/>
      <x:c r="P24" s="10" t="str"/>
      <x:c r="Q24" s="10" t="str"/>
      <x:c r="R24" s="10" t="str"/>
      <x:c r="S24" s="10" t="str"/>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10" t="str"/>
      <x:c r="O25" s="10" t="str"/>
      <x:c r="P25" s="10" t="str"/>
      <x:c r="Q25" s="10" t="str"/>
      <x:c r="R25" s="10" t="str"/>
      <x:c r="S25" s="10" t="str"/>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10" t="str"/>
      <x:c r="O26" s="10" t="str"/>
      <x:c r="P26" s="10" t="str"/>
      <x:c r="Q26" s="10" t="str"/>
      <x:c r="R26" s="10" t="str"/>
      <x:c r="S26" s="10" t="str"/>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10" t="str"/>
      <x:c r="O27" s="10" t="str"/>
      <x:c r="P27" s="10" t="str"/>
      <x:c r="Q27" s="10" t="str"/>
      <x:c r="R27" s="10" t="str"/>
      <x:c r="S27" s="10" t="str"/>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10" t="str"/>
      <x:c r="O28" s="10" t="str"/>
      <x:c r="P28" s="10" t="str"/>
      <x:c r="Q28" s="10" t="str"/>
      <x:c r="R28" s="10" t="str"/>
      <x:c r="S28" s="10" t="str"/>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10" t="str"/>
      <x:c r="O29" s="10" t="str"/>
      <x:c r="P29" s="10" t="str"/>
      <x:c r="Q29" s="10" t="str"/>
      <x:c r="R29" s="10" t="str"/>
      <x:c r="S29" s="10" t="str"/>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10" t="str"/>
      <x:c r="O30" s="10" t="str"/>
      <x:c r="P30" s="10" t="str"/>
      <x:c r="Q30" s="10" t="str"/>
      <x:c r="R30" s="10" t="str"/>
      <x:c r="S30" s="10" t="str"/>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10" t="str"/>
      <x:c r="O31" s="10" t="str"/>
      <x:c r="P31" s="10" t="str"/>
      <x:c r="Q31" s="10" t="str"/>
      <x:c r="R31" s="10" t="str"/>
      <x:c r="S31" s="10" t="str"/>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10" t="str"/>
      <x:c r="O32" s="10" t="str"/>
      <x:c r="P32" s="10" t="str"/>
      <x:c r="Q32" s="10" t="str"/>
      <x:c r="R32" s="10" t="str"/>
      <x:c r="S32" s="10" t="str"/>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10" t="str"/>
      <x:c r="O33" s="10" t="str"/>
      <x:c r="P33" s="10" t="str"/>
      <x:c r="Q33" s="10" t="str"/>
      <x:c r="R33" s="10" t="str"/>
      <x:c r="S33" s="10" t="str"/>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10" t="str"/>
      <x:c r="O34" s="10" t="str"/>
      <x:c r="P34" s="10" t="str"/>
      <x:c r="Q34" s="10" t="str"/>
      <x:c r="R34" s="10" t="str"/>
      <x:c r="S34" s="10" t="str"/>
      <x:c r="T34" s="2"/>
      <x:c r="U34" s="2"/>
      <x:c r="V34" s="2"/>
      <x:c r="W34" s="2"/>
      <x:c r="X34" s="2"/>
      <x:c r="Y34" s="2"/>
      <x:c r="Z34" s="2"/>
    </x:row>
    <x:row r="35" ht="38" customHeight="1">
      <x:c r="A35" s="10" t="str"/>
      <x:c r="B35" s="10" t="str"/>
      <x:c r="C35" s="10" t="str"/>
      <x:c r="D35" s="10" t="str"/>
      <x:c r="E35" s="10" t="str"/>
      <x:c r="F35" s="10" t="str"/>
      <x:c r="G35" s="10" t="str"/>
      <x:c r="H35" s="10" t="str"/>
      <x:c r="I35" s="10" t="str"/>
      <x:c r="J35" s="10" t="str"/>
      <x:c r="K35" s="10" t="str"/>
      <x:c r="L35" s="10" t="str"/>
      <x:c r="M35" s="10" t="str"/>
      <x:c r="N35" s="10" t="str"/>
      <x:c r="O35" s="10" t="str"/>
      <x:c r="P35" s="10" t="str"/>
      <x:c r="Q35" s="10" t="str"/>
      <x:c r="R35" s="10" t="str"/>
      <x:c r="S35" s="10" t="str"/>
      <x:c r="T35" s="2"/>
      <x:c r="U35" s="2"/>
      <x:c r="V35" s="2"/>
      <x:c r="W35" s="2"/>
      <x:c r="X35" s="2"/>
      <x:c r="Y35" s="2"/>
      <x:c r="Z35" s="2"/>
    </x:row>
    <x:row r="36" ht="38" customHeight="1">
      <x:c r="A36" s="10" t="str"/>
      <x:c r="B36" s="10" t="str"/>
      <x:c r="C36" s="10" t="str"/>
      <x:c r="D36" s="10" t="str"/>
      <x:c r="E36" s="10" t="str"/>
      <x:c r="F36" s="10" t="str"/>
      <x:c r="G36" s="10" t="str"/>
      <x:c r="H36" s="10" t="str"/>
      <x:c r="I36" s="10" t="str"/>
      <x:c r="J36" s="10" t="str"/>
      <x:c r="K36" s="10" t="str"/>
      <x:c r="L36" s="10" t="str"/>
      <x:c r="M36" s="10" t="str"/>
      <x:c r="N36" s="10" t="str"/>
      <x:c r="O36" s="10" t="str"/>
      <x:c r="P36" s="10" t="str"/>
      <x:c r="Q36" s="10" t="str"/>
      <x:c r="R36" s="10" t="str"/>
      <x:c r="S36" s="10" t="str"/>
      <x:c r="T36" s="2"/>
      <x:c r="U36" s="2"/>
      <x:c r="V36" s="2"/>
      <x:c r="W36" s="2"/>
      <x:c r="X36" s="2"/>
      <x:c r="Y36" s="2"/>
      <x:c r="Z36" s="2"/>
    </x:row>
    <x:row r="37" ht="38" customHeight="1">
      <x:c r="A37" s="10" t="str"/>
      <x:c r="B37" s="10" t="str"/>
      <x:c r="C37" s="10" t="str"/>
      <x:c r="D37" s="10" t="str"/>
      <x:c r="E37" s="10" t="str"/>
      <x:c r="F37" s="10" t="str"/>
      <x:c r="G37" s="10" t="str"/>
      <x:c r="H37" s="10" t="str"/>
      <x:c r="I37" s="10" t="str"/>
      <x:c r="J37" s="10" t="str"/>
      <x:c r="K37" s="10" t="str"/>
      <x:c r="L37" s="10" t="str"/>
      <x:c r="M37" s="10" t="str"/>
      <x:c r="N37" s="10" t="str"/>
      <x:c r="O37" s="10" t="str"/>
      <x:c r="P37" s="10" t="str"/>
      <x:c r="Q37" s="10" t="str"/>
      <x:c r="R37" s="10" t="str"/>
      <x:c r="S37" s="10" t="str"/>
      <x:c r="T37" s="2"/>
      <x:c r="U37" s="2"/>
      <x:c r="V37" s="2"/>
      <x:c r="W37" s="2"/>
      <x:c r="X37" s="2"/>
      <x:c r="Y37" s="2"/>
      <x:c r="Z37" s="2"/>
    </x:row>
    <x:row r="38" ht="38" customHeight="1">
      <x:c r="A38" s="10" t="str"/>
      <x:c r="B38" s="10" t="str"/>
      <x:c r="C38" s="10" t="str"/>
      <x:c r="D38" s="10" t="str"/>
      <x:c r="E38" s="10" t="str"/>
      <x:c r="F38" s="10" t="str"/>
      <x:c r="G38" s="10" t="str"/>
      <x:c r="H38" s="10" t="str"/>
      <x:c r="I38" s="10" t="str"/>
      <x:c r="J38" s="10" t="str"/>
      <x:c r="K38" s="10" t="str"/>
      <x:c r="L38" s="10" t="str"/>
      <x:c r="M38" s="10" t="str"/>
      <x:c r="N38" s="10" t="str"/>
      <x:c r="O38" s="10" t="str"/>
      <x:c r="P38" s="10" t="str"/>
      <x:c r="Q38" s="10" t="str"/>
      <x:c r="R38" s="10" t="str"/>
      <x:c r="S38" s="10" t="str"/>
      <x:c r="T38" s="2"/>
      <x:c r="U38" s="2"/>
      <x:c r="V38" s="2"/>
      <x:c r="W38" s="2"/>
      <x:c r="X38" s="2"/>
      <x:c r="Y38" s="2"/>
      <x:c r="Z38" s="2"/>
    </x:row>
    <x:row r="39" ht="38" customHeight="1">
      <x:c r="A39" s="10" t="str"/>
      <x:c r="B39" s="10" t="str"/>
      <x:c r="C39" s="10" t="str"/>
      <x:c r="D39" s="10" t="str"/>
      <x:c r="E39" s="10" t="str"/>
      <x:c r="F39" s="10" t="str"/>
      <x:c r="G39" s="10" t="str"/>
      <x:c r="H39" s="10" t="str"/>
      <x:c r="I39" s="10" t="str"/>
      <x:c r="J39" s="10" t="str"/>
      <x:c r="K39" s="10" t="str"/>
      <x:c r="L39" s="10" t="str"/>
      <x:c r="M39" s="10" t="str"/>
      <x:c r="N39" s="10" t="str"/>
      <x:c r="O39" s="10" t="str"/>
      <x:c r="P39" s="10" t="str"/>
      <x:c r="Q39" s="10" t="str"/>
      <x:c r="R39" s="10" t="str"/>
      <x:c r="S39" s="10" t="str"/>
      <x:c r="T39" s="2"/>
      <x:c r="U39" s="2"/>
      <x:c r="V39" s="2"/>
      <x:c r="W39" s="2"/>
      <x:c r="X39" s="2"/>
      <x:c r="Y39" s="2"/>
      <x:c r="Z39" s="2"/>
    </x:row>
    <x:row r="40" ht="38" customHeight="1">
      <x:c r="A40" s="10" t="str"/>
      <x:c r="B40" s="10" t="str"/>
      <x:c r="C40" s="10" t="str"/>
      <x:c r="D40" s="10" t="str"/>
      <x:c r="E40" s="10" t="str"/>
      <x:c r="F40" s="10" t="str"/>
      <x:c r="G40" s="10" t="str"/>
      <x:c r="H40" s="10" t="str"/>
      <x:c r="I40" s="10" t="str"/>
      <x:c r="J40" s="10" t="str"/>
      <x:c r="K40" s="10" t="str"/>
      <x:c r="L40" s="10" t="str"/>
      <x:c r="M40" s="10" t="str"/>
      <x:c r="N40" s="10" t="str"/>
      <x:c r="O40" s="10" t="str"/>
      <x:c r="P40" s="10" t="str"/>
      <x:c r="Q40" s="10" t="str"/>
      <x:c r="R40" s="10" t="str"/>
      <x:c r="S40" s="10" t="str"/>
      <x:c r="T40" s="2"/>
      <x:c r="U40" s="2"/>
      <x:c r="V40" s="2"/>
      <x:c r="W40" s="2"/>
      <x:c r="X40" s="2"/>
      <x:c r="Y40" s="2"/>
      <x:c r="Z40" s="2"/>
    </x:row>
    <x:row r="41" ht="38" customHeight="1">
      <x:c r="A41" s="10" t="str"/>
      <x:c r="B41" s="10" t="str"/>
      <x:c r="C41" s="10" t="str"/>
      <x:c r="D41" s="10" t="str"/>
      <x:c r="E41" s="10" t="str"/>
      <x:c r="F41" s="10" t="str"/>
      <x:c r="G41" s="10" t="str"/>
      <x:c r="H41" s="10" t="str"/>
      <x:c r="I41" s="10" t="str"/>
      <x:c r="J41" s="10" t="str"/>
      <x:c r="K41" s="10" t="str"/>
      <x:c r="L41" s="10" t="str"/>
      <x:c r="M41" s="10" t="str"/>
      <x:c r="N41" s="10" t="str"/>
      <x:c r="O41" s="10" t="str"/>
      <x:c r="P41" s="10" t="str"/>
      <x:c r="Q41" s="10" t="str"/>
      <x:c r="R41" s="10" t="str"/>
      <x:c r="S41" s="10" t="str"/>
      <x:c r="T41" s="2"/>
      <x:c r="U41" s="2"/>
      <x:c r="V41" s="2"/>
      <x:c r="W41" s="2"/>
      <x:c r="X41" s="2"/>
      <x:c r="Y41" s="2"/>
      <x:c r="Z41" s="2"/>
    </x:row>
    <x:row r="42" ht="38" customHeight="1">
      <x:c r="A42" s="10" t="str"/>
      <x:c r="B42" s="10" t="str"/>
      <x:c r="C42" s="10" t="str"/>
      <x:c r="D42" s="10" t="str"/>
      <x:c r="E42" s="10" t="str"/>
      <x:c r="F42" s="10" t="str"/>
      <x:c r="G42" s="10" t="str"/>
      <x:c r="H42" s="10" t="str"/>
      <x:c r="I42" s="10" t="str"/>
      <x:c r="J42" s="10" t="str"/>
      <x:c r="K42" s="10" t="str"/>
      <x:c r="L42" s="10" t="str"/>
      <x:c r="M42" s="10" t="str"/>
      <x:c r="N42" s="10" t="str"/>
      <x:c r="O42" s="10" t="str"/>
      <x:c r="P42" s="10" t="str"/>
      <x:c r="Q42" s="10" t="str"/>
      <x:c r="R42" s="10" t="str"/>
      <x:c r="S42" s="10" t="str"/>
      <x:c r="T42" s="2"/>
      <x:c r="U42" s="2"/>
      <x:c r="V42" s="2"/>
      <x:c r="W42" s="2"/>
      <x:c r="X42" s="2"/>
      <x:c r="Y42" s="2"/>
      <x:c r="Z42" s="2"/>
    </x:row>
    <x:row r="43" ht="38" customHeight="1">
      <x:c r="A43" s="10" t="str"/>
      <x:c r="B43" s="10" t="str"/>
      <x:c r="C43" s="10" t="str"/>
      <x:c r="D43" s="10" t="str"/>
      <x:c r="E43" s="10" t="str"/>
      <x:c r="F43" s="10" t="str"/>
      <x:c r="G43" s="10" t="str"/>
      <x:c r="H43" s="10" t="str"/>
      <x:c r="I43" s="10" t="str"/>
      <x:c r="J43" s="10" t="str"/>
      <x:c r="K43" s="10" t="str"/>
      <x:c r="L43" s="10" t="str"/>
      <x:c r="M43" s="10" t="str"/>
      <x:c r="N43" s="10" t="str"/>
      <x:c r="O43" s="10" t="str"/>
      <x:c r="P43" s="10" t="str"/>
      <x:c r="Q43" s="10" t="str"/>
      <x:c r="R43" s="10" t="str"/>
      <x:c r="S43" s="10" t="str"/>
      <x:c r="T43" s="2"/>
      <x:c r="U43" s="2"/>
      <x:c r="V43" s="2"/>
      <x:c r="W43" s="2"/>
      <x:c r="X43" s="2"/>
      <x:c r="Y43" s="2"/>
      <x:c r="Z43" s="2"/>
    </x:row>
    <x:row r="44" ht="38" customHeight="1">
      <x:c r="A44" s="10" t="str"/>
      <x:c r="B44" s="10" t="str"/>
      <x:c r="C44" s="10" t="str"/>
      <x:c r="D44" s="10" t="str"/>
      <x:c r="E44" s="10" t="str"/>
      <x:c r="F44" s="10" t="str"/>
      <x:c r="G44" s="10" t="str"/>
      <x:c r="H44" s="10" t="str"/>
      <x:c r="I44" s="10" t="str"/>
      <x:c r="J44" s="10" t="str"/>
      <x:c r="K44" s="10" t="str"/>
      <x:c r="L44" s="10" t="str"/>
      <x:c r="M44" s="10" t="str"/>
      <x:c r="N44" s="10" t="str"/>
      <x:c r="O44" s="10" t="str"/>
      <x:c r="P44" s="10" t="str"/>
      <x:c r="Q44" s="10" t="str"/>
      <x:c r="R44" s="10" t="str"/>
      <x:c r="S44" s="10" t="str"/>
      <x:c r="T44" s="2"/>
      <x:c r="U44" s="2"/>
      <x:c r="V44" s="2"/>
      <x:c r="W44" s="2"/>
      <x:c r="X44" s="2"/>
      <x:c r="Y44" s="2"/>
      <x:c r="Z44" s="2"/>
    </x:row>
    <x:row r="45" ht="38" customHeight="1">
      <x:c r="A45" s="11" t="str"/>
      <x:c r="B45" s="11" t="str"/>
      <x:c r="C45" s="11" t="str"/>
      <x:c r="D45" s="11" t="str"/>
      <x:c r="E45" s="11" t="str"/>
      <x:c r="F45" s="11" t="str"/>
      <x:c r="G45" s="11" t="str"/>
      <x:c r="H45" s="11" t="str"/>
      <x:c r="I45" s="11" t="str"/>
      <x:c r="J45" s="11" t="str"/>
      <x:c r="K45" s="11" t="str"/>
      <x:c r="L45" s="11" t="str"/>
      <x:c r="M45" s="11" t="str"/>
      <x:c r="N45" s="11" t="str"/>
      <x:c r="O45" s="11" t="str"/>
      <x:c r="P45" s="11" t="str"/>
      <x:c r="Q45" s="11" t="str"/>
      <x:c r="R45" s="11" t="str"/>
      <x:c r="S45" s="11" t="str"/>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L6:L45">
    <x:cfRule type="containsText" dxfId="1" priority="1" operator="containsText" text="Quality concern"/>
  </x:conditionalFormatting>
  <x:conditionalFormatting sqref="M6:M45">
    <x:cfRule type="containsText" dxfId="2" priority="2" operator="containsText" text="Absent"/>
  </x:conditionalFormatting>
  <x:dataValidations count="7">
    <x:dataValidation type="list" sqref="D6:D45">
      <x:formula1>"Survey or census,Administrative record,Research or experimental,Geospatial or Earth observation,Sensor or machine generated,Transaction or private-sector,Integrated or linked source,Other"</x:formula1>
    </x:dataValidation>
    <x:dataValidation type="list" sqref="G6:G45">
      <x:formula1>"Continuous,Daily,Weekly,Monthly,Quarterly,Annual,Multi-year,Ad hoc,One-time"</x:formula1>
    </x:dataValidation>
    <x:dataValidation type="list" sqref="K6:K45">
      <x:formula1>"Public,Internal,Confidential,Highly sensitive,Unclassified or unknown"</x:formula1>
    </x:dataValidation>
    <x:dataValidation type="list" sqref="L6:L45">
      <x:formula1>"Assessed fit for use,Assessed with limitations,Not assessed,Quality concern,Unknown"</x:formula1>
    </x:dataValidation>
    <x:dataValidation type="list" sqref="M6:M45">
      <x:formula1>"Complete,Partial,Absent,Unknown"</x:formula1>
    </x:dataValidation>
    <x:dataValidation type="list" sqref="Q6:Q45">
      <x:formula1>"Yes,No,Mixed"</x:formula1>
    </x:dataValidation>
    <x:dataValidation type="list" sqref="R6:R45">
      <x:formula1>"High,Medium,Low,Not assessed"</x:formula1>
    </x:dataValidation>
  </x:dataValidations>
  <x:pageMargins left="0.7" right="0.7" top="0.75" bottom="0.75" header="0.3" footer="0.3"/>
</x:worksheet>
</file>

<file path=xl/worksheets/sheet4.xml><?xml version="1.0" encoding="utf-8"?>
<x:worksheet xmlns:x="http://schemas.openxmlformats.org/spreadsheetml/2006/main">
  <x:sheetPr>
    <x:tabColor rgb="FF4F81BD"/>
  </x:sheetPr>
  <x:sheetViews>
    <x:sheetView showGridLines="0" workbookViewId="0">
      <x:pane xSplit="4" ySplit="5" topLeftCell="E6" activePane="bottomRight" state="frozen"/>
    </x:sheetView>
  </x:sheetViews>
  <x:sheetFormatPr defaultRowHeight="15"/>
  <x:cols>
    <x:col min="1" max="1" width="13" hidden="0" customWidth="1"/>
    <x:col min="2" max="2" width="21" hidden="0" customWidth="1"/>
    <x:col min="3" max="3" width="24" hidden="0" customWidth="1"/>
    <x:col min="4" max="4" width="14" hidden="0" customWidth="1"/>
    <x:col min="5" max="5" width="34" hidden="0" customWidth="1"/>
    <x:col min="6" max="6" width="24" hidden="0" customWidth="1"/>
    <x:col min="7" max="7" width="15" hidden="0" customWidth="1"/>
    <x:col min="8" max="8" width="20" hidden="0" customWidth="1"/>
    <x:col min="9" max="9" width="20" hidden="0" customWidth="1"/>
    <x:col min="10" max="10" width="24" hidden="0" customWidth="1"/>
    <x:col min="11" max="11" width="24" hidden="0" customWidth="1"/>
    <x:col min="12" max="12" width="24" hidden="0" customWidth="1"/>
    <x:col min="13" max="13" width="16" hidden="0" customWidth="1"/>
    <x:col min="14" max="14" width="16" hidden="0" customWidth="1"/>
    <x:col min="15" max="15" width="34" hidden="0" customWidth="1"/>
    <x:col min="16" max="16" width="20" hidden="0" customWidth="1"/>
    <x:col min="17" max="17"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Data Flows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Map recurring and proposed exchanges between institutions, including technical, legal and quality controls.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Flow ID</x:v>
      </x:c>
      <x:c r="B5" s="8" t="str">
        <x:v>Source institution ID</x:v>
      </x:c>
      <x:c r="C5" s="8" t="str">
        <x:v>Destination institution ID</x:v>
      </x:c>
      <x:c r="D5" s="8" t="str">
        <x:v>Asset ID</x:v>
      </x:c>
      <x:c r="E5" s="8" t="str">
        <x:v>Purpose or product supported</x:v>
      </x:c>
      <x:c r="F5" s="8" t="str">
        <x:v>Transfer mechanism</x:v>
      </x:c>
      <x:c r="G5" s="8" t="str">
        <x:v>Frequency</x:v>
      </x:c>
      <x:c r="H5" s="8" t="str">
        <x:v>Agreement status</x:v>
      </x:c>
      <x:c r="I5" s="8" t="str">
        <x:v>Timeliness status</x:v>
      </x:c>
      <x:c r="J5" s="8" t="str">
        <x:v>Quality checks</x:v>
      </x:c>
      <x:c r="K5" s="8" t="str">
        <x:v>Interoperability</x:v>
      </x:c>
      <x:c r="L5" s="8" t="str">
        <x:v>Continuity or fallback</x:v>
      </x:c>
      <x:c r="M5" s="8" t="str">
        <x:v>Flow status</x:v>
      </x:c>
      <x:c r="N5" s="8" t="str">
        <x:v>Criticality</x:v>
      </x:c>
      <x:c r="O5" s="8" t="str">
        <x:v>Known issue or dependency</x:v>
      </x:c>
      <x:c r="P5" s="8" t="str">
        <x:v>Flow owner</x:v>
      </x:c>
      <x:c r="Q5" s="8" t="str">
        <x:v>Evidence reference</x:v>
      </x:c>
      <x:c r="R5" s="2"/>
      <x:c r="S5" s="2"/>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10" t="str"/>
      <x:c r="O6" s="10" t="str"/>
      <x:c r="P6" s="10" t="str"/>
      <x:c r="Q6" s="10" t="str"/>
      <x:c r="R6" s="2"/>
      <x:c r="S6" s="2"/>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10" t="str"/>
      <x:c r="O7" s="10" t="str"/>
      <x:c r="P7" s="10" t="str"/>
      <x:c r="Q7" s="10" t="str"/>
      <x:c r="R7" s="2"/>
      <x:c r="S7" s="2"/>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10" t="str"/>
      <x:c r="O8" s="10" t="str"/>
      <x:c r="P8" s="10" t="str"/>
      <x:c r="Q8" s="10" t="str"/>
      <x:c r="R8" s="2"/>
      <x:c r="S8" s="2"/>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10" t="str"/>
      <x:c r="O9" s="10" t="str"/>
      <x:c r="P9" s="10" t="str"/>
      <x:c r="Q9" s="10" t="str"/>
      <x:c r="R9" s="2"/>
      <x:c r="S9" s="2"/>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10" t="str"/>
      <x:c r="O10" s="10" t="str"/>
      <x:c r="P10" s="10" t="str"/>
      <x:c r="Q10" s="10" t="str"/>
      <x:c r="R10" s="2"/>
      <x:c r="S10" s="2"/>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10" t="str"/>
      <x:c r="O11" s="10" t="str"/>
      <x:c r="P11" s="10" t="str"/>
      <x:c r="Q11" s="10" t="str"/>
      <x:c r="R11" s="2"/>
      <x:c r="S11" s="2"/>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10" t="str"/>
      <x:c r="O12" s="10" t="str"/>
      <x:c r="P12" s="10" t="str"/>
      <x:c r="Q12" s="10" t="str"/>
      <x:c r="R12" s="2"/>
      <x:c r="S12" s="2"/>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10" t="str"/>
      <x:c r="O13" s="10" t="str"/>
      <x:c r="P13" s="10" t="str"/>
      <x:c r="Q13" s="10" t="str"/>
      <x:c r="R13" s="2"/>
      <x:c r="S13" s="2"/>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10" t="str"/>
      <x:c r="O14" s="10" t="str"/>
      <x:c r="P14" s="10" t="str"/>
      <x:c r="Q14" s="10" t="str"/>
      <x:c r="R14" s="2"/>
      <x:c r="S14" s="2"/>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10" t="str"/>
      <x:c r="O15" s="10" t="str"/>
      <x:c r="P15" s="10" t="str"/>
      <x:c r="Q15" s="10" t="str"/>
      <x:c r="R15" s="2"/>
      <x:c r="S15" s="2"/>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10" t="str"/>
      <x:c r="O16" s="10" t="str"/>
      <x:c r="P16" s="10" t="str"/>
      <x:c r="Q16" s="10" t="str"/>
      <x:c r="R16" s="2"/>
      <x:c r="S16" s="2"/>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10" t="str"/>
      <x:c r="O17" s="10" t="str"/>
      <x:c r="P17" s="10" t="str"/>
      <x:c r="Q17" s="10" t="str"/>
      <x:c r="R17" s="2"/>
      <x:c r="S17" s="2"/>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10" t="str"/>
      <x:c r="O18" s="10" t="str"/>
      <x:c r="P18" s="10" t="str"/>
      <x:c r="Q18" s="10" t="str"/>
      <x:c r="R18" s="2"/>
      <x:c r="S18" s="2"/>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10" t="str"/>
      <x:c r="O19" s="10" t="str"/>
      <x:c r="P19" s="10" t="str"/>
      <x:c r="Q19" s="10" t="str"/>
      <x:c r="R19" s="2"/>
      <x:c r="S19" s="2"/>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10" t="str"/>
      <x:c r="O20" s="10" t="str"/>
      <x:c r="P20" s="10" t="str"/>
      <x:c r="Q20" s="10" t="str"/>
      <x:c r="R20" s="2"/>
      <x:c r="S20" s="2"/>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10" t="str"/>
      <x:c r="O21" s="10" t="str"/>
      <x:c r="P21" s="10" t="str"/>
      <x:c r="Q21" s="10" t="str"/>
      <x:c r="R21" s="2"/>
      <x:c r="S21" s="2"/>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10" t="str"/>
      <x:c r="O22" s="10" t="str"/>
      <x:c r="P22" s="10" t="str"/>
      <x:c r="Q22" s="10" t="str"/>
      <x:c r="R22" s="2"/>
      <x:c r="S22" s="2"/>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10" t="str"/>
      <x:c r="O23" s="10" t="str"/>
      <x:c r="P23" s="10" t="str"/>
      <x:c r="Q23" s="10" t="str"/>
      <x:c r="R23" s="2"/>
      <x:c r="S23" s="2"/>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10" t="str"/>
      <x:c r="O24" s="10" t="str"/>
      <x:c r="P24" s="10" t="str"/>
      <x:c r="Q24" s="10" t="str"/>
      <x:c r="R24" s="2"/>
      <x:c r="S24" s="2"/>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10" t="str"/>
      <x:c r="O25" s="10" t="str"/>
      <x:c r="P25" s="10" t="str"/>
      <x:c r="Q25" s="10" t="str"/>
      <x:c r="R25" s="2"/>
      <x:c r="S25" s="2"/>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10" t="str"/>
      <x:c r="O26" s="10" t="str"/>
      <x:c r="P26" s="10" t="str"/>
      <x:c r="Q26" s="10" t="str"/>
      <x:c r="R26" s="2"/>
      <x:c r="S26" s="2"/>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10" t="str"/>
      <x:c r="O27" s="10" t="str"/>
      <x:c r="P27" s="10" t="str"/>
      <x:c r="Q27" s="10" t="str"/>
      <x:c r="R27" s="2"/>
      <x:c r="S27" s="2"/>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10" t="str"/>
      <x:c r="O28" s="10" t="str"/>
      <x:c r="P28" s="10" t="str"/>
      <x:c r="Q28" s="10" t="str"/>
      <x:c r="R28" s="2"/>
      <x:c r="S28" s="2"/>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10" t="str"/>
      <x:c r="O29" s="10" t="str"/>
      <x:c r="P29" s="10" t="str"/>
      <x:c r="Q29" s="10" t="str"/>
      <x:c r="R29" s="2"/>
      <x:c r="S29" s="2"/>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10" t="str"/>
      <x:c r="O30" s="10" t="str"/>
      <x:c r="P30" s="10" t="str"/>
      <x:c r="Q30" s="10" t="str"/>
      <x:c r="R30" s="2"/>
      <x:c r="S30" s="2"/>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10" t="str"/>
      <x:c r="O31" s="10" t="str"/>
      <x:c r="P31" s="10" t="str"/>
      <x:c r="Q31" s="10" t="str"/>
      <x:c r="R31" s="2"/>
      <x:c r="S31" s="2"/>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10" t="str"/>
      <x:c r="O32" s="10" t="str"/>
      <x:c r="P32" s="10" t="str"/>
      <x:c r="Q32" s="10" t="str"/>
      <x:c r="R32" s="2"/>
      <x:c r="S32" s="2"/>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10" t="str"/>
      <x:c r="O33" s="10" t="str"/>
      <x:c r="P33" s="10" t="str"/>
      <x:c r="Q33" s="10" t="str"/>
      <x:c r="R33" s="2"/>
      <x:c r="S33" s="2"/>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10" t="str"/>
      <x:c r="O34" s="10" t="str"/>
      <x:c r="P34" s="10" t="str"/>
      <x:c r="Q34" s="10" t="str"/>
      <x:c r="R34" s="2"/>
      <x:c r="S34" s="2"/>
      <x:c r="T34" s="2"/>
      <x:c r="U34" s="2"/>
      <x:c r="V34" s="2"/>
      <x:c r="W34" s="2"/>
      <x:c r="X34" s="2"/>
      <x:c r="Y34" s="2"/>
      <x:c r="Z34" s="2"/>
    </x:row>
    <x:row r="35" ht="38" customHeight="1">
      <x:c r="A35" s="10" t="str"/>
      <x:c r="B35" s="10" t="str"/>
      <x:c r="C35" s="10" t="str"/>
      <x:c r="D35" s="10" t="str"/>
      <x:c r="E35" s="10" t="str"/>
      <x:c r="F35" s="10" t="str"/>
      <x:c r="G35" s="10" t="str"/>
      <x:c r="H35" s="10" t="str"/>
      <x:c r="I35" s="10" t="str"/>
      <x:c r="J35" s="10" t="str"/>
      <x:c r="K35" s="10" t="str"/>
      <x:c r="L35" s="10" t="str"/>
      <x:c r="M35" s="10" t="str"/>
      <x:c r="N35" s="10" t="str"/>
      <x:c r="O35" s="10" t="str"/>
      <x:c r="P35" s="10" t="str"/>
      <x:c r="Q35" s="10" t="str"/>
      <x:c r="R35" s="2"/>
      <x:c r="S35" s="2"/>
      <x:c r="T35" s="2"/>
      <x:c r="U35" s="2"/>
      <x:c r="V35" s="2"/>
      <x:c r="W35" s="2"/>
      <x:c r="X35" s="2"/>
      <x:c r="Y35" s="2"/>
      <x:c r="Z35" s="2"/>
    </x:row>
    <x:row r="36" ht="38" customHeight="1">
      <x:c r="A36" s="10" t="str"/>
      <x:c r="B36" s="10" t="str"/>
      <x:c r="C36" s="10" t="str"/>
      <x:c r="D36" s="10" t="str"/>
      <x:c r="E36" s="10" t="str"/>
      <x:c r="F36" s="10" t="str"/>
      <x:c r="G36" s="10" t="str"/>
      <x:c r="H36" s="10" t="str"/>
      <x:c r="I36" s="10" t="str"/>
      <x:c r="J36" s="10" t="str"/>
      <x:c r="K36" s="10" t="str"/>
      <x:c r="L36" s="10" t="str"/>
      <x:c r="M36" s="10" t="str"/>
      <x:c r="N36" s="10" t="str"/>
      <x:c r="O36" s="10" t="str"/>
      <x:c r="P36" s="10" t="str"/>
      <x:c r="Q36" s="10" t="str"/>
      <x:c r="R36" s="2"/>
      <x:c r="S36" s="2"/>
      <x:c r="T36" s="2"/>
      <x:c r="U36" s="2"/>
      <x:c r="V36" s="2"/>
      <x:c r="W36" s="2"/>
      <x:c r="X36" s="2"/>
      <x:c r="Y36" s="2"/>
      <x:c r="Z36" s="2"/>
    </x:row>
    <x:row r="37" ht="38" customHeight="1">
      <x:c r="A37" s="10" t="str"/>
      <x:c r="B37" s="10" t="str"/>
      <x:c r="C37" s="10" t="str"/>
      <x:c r="D37" s="10" t="str"/>
      <x:c r="E37" s="10" t="str"/>
      <x:c r="F37" s="10" t="str"/>
      <x:c r="G37" s="10" t="str"/>
      <x:c r="H37" s="10" t="str"/>
      <x:c r="I37" s="10" t="str"/>
      <x:c r="J37" s="10" t="str"/>
      <x:c r="K37" s="10" t="str"/>
      <x:c r="L37" s="10" t="str"/>
      <x:c r="M37" s="10" t="str"/>
      <x:c r="N37" s="10" t="str"/>
      <x:c r="O37" s="10" t="str"/>
      <x:c r="P37" s="10" t="str"/>
      <x:c r="Q37" s="10" t="str"/>
      <x:c r="R37" s="2"/>
      <x:c r="S37" s="2"/>
      <x:c r="T37" s="2"/>
      <x:c r="U37" s="2"/>
      <x:c r="V37" s="2"/>
      <x:c r="W37" s="2"/>
      <x:c r="X37" s="2"/>
      <x:c r="Y37" s="2"/>
      <x:c r="Z37" s="2"/>
    </x:row>
    <x:row r="38" ht="38" customHeight="1">
      <x:c r="A38" s="10" t="str"/>
      <x:c r="B38" s="10" t="str"/>
      <x:c r="C38" s="10" t="str"/>
      <x:c r="D38" s="10" t="str"/>
      <x:c r="E38" s="10" t="str"/>
      <x:c r="F38" s="10" t="str"/>
      <x:c r="G38" s="10" t="str"/>
      <x:c r="H38" s="10" t="str"/>
      <x:c r="I38" s="10" t="str"/>
      <x:c r="J38" s="10" t="str"/>
      <x:c r="K38" s="10" t="str"/>
      <x:c r="L38" s="10" t="str"/>
      <x:c r="M38" s="10" t="str"/>
      <x:c r="N38" s="10" t="str"/>
      <x:c r="O38" s="10" t="str"/>
      <x:c r="P38" s="10" t="str"/>
      <x:c r="Q38" s="10" t="str"/>
      <x:c r="R38" s="2"/>
      <x:c r="S38" s="2"/>
      <x:c r="T38" s="2"/>
      <x:c r="U38" s="2"/>
      <x:c r="V38" s="2"/>
      <x:c r="W38" s="2"/>
      <x:c r="X38" s="2"/>
      <x:c r="Y38" s="2"/>
      <x:c r="Z38" s="2"/>
    </x:row>
    <x:row r="39" ht="38" customHeight="1">
      <x:c r="A39" s="10" t="str"/>
      <x:c r="B39" s="10" t="str"/>
      <x:c r="C39" s="10" t="str"/>
      <x:c r="D39" s="10" t="str"/>
      <x:c r="E39" s="10" t="str"/>
      <x:c r="F39" s="10" t="str"/>
      <x:c r="G39" s="10" t="str"/>
      <x:c r="H39" s="10" t="str"/>
      <x:c r="I39" s="10" t="str"/>
      <x:c r="J39" s="10" t="str"/>
      <x:c r="K39" s="10" t="str"/>
      <x:c r="L39" s="10" t="str"/>
      <x:c r="M39" s="10" t="str"/>
      <x:c r="N39" s="10" t="str"/>
      <x:c r="O39" s="10" t="str"/>
      <x:c r="P39" s="10" t="str"/>
      <x:c r="Q39" s="10" t="str"/>
      <x:c r="R39" s="2"/>
      <x:c r="S39" s="2"/>
      <x:c r="T39" s="2"/>
      <x:c r="U39" s="2"/>
      <x:c r="V39" s="2"/>
      <x:c r="W39" s="2"/>
      <x:c r="X39" s="2"/>
      <x:c r="Y39" s="2"/>
      <x:c r="Z39" s="2"/>
    </x:row>
    <x:row r="40" ht="38" customHeight="1">
      <x:c r="A40" s="10" t="str"/>
      <x:c r="B40" s="10" t="str"/>
      <x:c r="C40" s="10" t="str"/>
      <x:c r="D40" s="10" t="str"/>
      <x:c r="E40" s="10" t="str"/>
      <x:c r="F40" s="10" t="str"/>
      <x:c r="G40" s="10" t="str"/>
      <x:c r="H40" s="10" t="str"/>
      <x:c r="I40" s="10" t="str"/>
      <x:c r="J40" s="10" t="str"/>
      <x:c r="K40" s="10" t="str"/>
      <x:c r="L40" s="10" t="str"/>
      <x:c r="M40" s="10" t="str"/>
      <x:c r="N40" s="10" t="str"/>
      <x:c r="O40" s="10" t="str"/>
      <x:c r="P40" s="10" t="str"/>
      <x:c r="Q40" s="10" t="str"/>
      <x:c r="R40" s="2"/>
      <x:c r="S40" s="2"/>
      <x:c r="T40" s="2"/>
      <x:c r="U40" s="2"/>
      <x:c r="V40" s="2"/>
      <x:c r="W40" s="2"/>
      <x:c r="X40" s="2"/>
      <x:c r="Y40" s="2"/>
      <x:c r="Z40" s="2"/>
    </x:row>
    <x:row r="41" ht="38" customHeight="1">
      <x:c r="A41" s="10" t="str"/>
      <x:c r="B41" s="10" t="str"/>
      <x:c r="C41" s="10" t="str"/>
      <x:c r="D41" s="10" t="str"/>
      <x:c r="E41" s="10" t="str"/>
      <x:c r="F41" s="10" t="str"/>
      <x:c r="G41" s="10" t="str"/>
      <x:c r="H41" s="10" t="str"/>
      <x:c r="I41" s="10" t="str"/>
      <x:c r="J41" s="10" t="str"/>
      <x:c r="K41" s="10" t="str"/>
      <x:c r="L41" s="10" t="str"/>
      <x:c r="M41" s="10" t="str"/>
      <x:c r="N41" s="10" t="str"/>
      <x:c r="O41" s="10" t="str"/>
      <x:c r="P41" s="10" t="str"/>
      <x:c r="Q41" s="10" t="str"/>
      <x:c r="R41" s="2"/>
      <x:c r="S41" s="2"/>
      <x:c r="T41" s="2"/>
      <x:c r="U41" s="2"/>
      <x:c r="V41" s="2"/>
      <x:c r="W41" s="2"/>
      <x:c r="X41" s="2"/>
      <x:c r="Y41" s="2"/>
      <x:c r="Z41" s="2"/>
    </x:row>
    <x:row r="42" ht="38" customHeight="1">
      <x:c r="A42" s="10" t="str"/>
      <x:c r="B42" s="10" t="str"/>
      <x:c r="C42" s="10" t="str"/>
      <x:c r="D42" s="10" t="str"/>
      <x:c r="E42" s="10" t="str"/>
      <x:c r="F42" s="10" t="str"/>
      <x:c r="G42" s="10" t="str"/>
      <x:c r="H42" s="10" t="str"/>
      <x:c r="I42" s="10" t="str"/>
      <x:c r="J42" s="10" t="str"/>
      <x:c r="K42" s="10" t="str"/>
      <x:c r="L42" s="10" t="str"/>
      <x:c r="M42" s="10" t="str"/>
      <x:c r="N42" s="10" t="str"/>
      <x:c r="O42" s="10" t="str"/>
      <x:c r="P42" s="10" t="str"/>
      <x:c r="Q42" s="10" t="str"/>
      <x:c r="R42" s="2"/>
      <x:c r="S42" s="2"/>
      <x:c r="T42" s="2"/>
      <x:c r="U42" s="2"/>
      <x:c r="V42" s="2"/>
      <x:c r="W42" s="2"/>
      <x:c r="X42" s="2"/>
      <x:c r="Y42" s="2"/>
      <x:c r="Z42" s="2"/>
    </x:row>
    <x:row r="43" ht="38" customHeight="1">
      <x:c r="A43" s="10" t="str"/>
      <x:c r="B43" s="10" t="str"/>
      <x:c r="C43" s="10" t="str"/>
      <x:c r="D43" s="10" t="str"/>
      <x:c r="E43" s="10" t="str"/>
      <x:c r="F43" s="10" t="str"/>
      <x:c r="G43" s="10" t="str"/>
      <x:c r="H43" s="10" t="str"/>
      <x:c r="I43" s="10" t="str"/>
      <x:c r="J43" s="10" t="str"/>
      <x:c r="K43" s="10" t="str"/>
      <x:c r="L43" s="10" t="str"/>
      <x:c r="M43" s="10" t="str"/>
      <x:c r="N43" s="10" t="str"/>
      <x:c r="O43" s="10" t="str"/>
      <x:c r="P43" s="10" t="str"/>
      <x:c r="Q43" s="10" t="str"/>
      <x:c r="R43" s="2"/>
      <x:c r="S43" s="2"/>
      <x:c r="T43" s="2"/>
      <x:c r="U43" s="2"/>
      <x:c r="V43" s="2"/>
      <x:c r="W43" s="2"/>
      <x:c r="X43" s="2"/>
      <x:c r="Y43" s="2"/>
      <x:c r="Z43" s="2"/>
    </x:row>
    <x:row r="44" ht="38" customHeight="1">
      <x:c r="A44" s="10" t="str"/>
      <x:c r="B44" s="10" t="str"/>
      <x:c r="C44" s="10" t="str"/>
      <x:c r="D44" s="10" t="str"/>
      <x:c r="E44" s="10" t="str"/>
      <x:c r="F44" s="10" t="str"/>
      <x:c r="G44" s="10" t="str"/>
      <x:c r="H44" s="10" t="str"/>
      <x:c r="I44" s="10" t="str"/>
      <x:c r="J44" s="10" t="str"/>
      <x:c r="K44" s="10" t="str"/>
      <x:c r="L44" s="10" t="str"/>
      <x:c r="M44" s="10" t="str"/>
      <x:c r="N44" s="10" t="str"/>
      <x:c r="O44" s="10" t="str"/>
      <x:c r="P44" s="10" t="str"/>
      <x:c r="Q44" s="10" t="str"/>
      <x:c r="R44" s="2"/>
      <x:c r="S44" s="2"/>
      <x:c r="T44" s="2"/>
      <x:c r="U44" s="2"/>
      <x:c r="V44" s="2"/>
      <x:c r="W44" s="2"/>
      <x:c r="X44" s="2"/>
      <x:c r="Y44" s="2"/>
      <x:c r="Z44" s="2"/>
    </x:row>
    <x:row r="45" ht="38" customHeight="1">
      <x:c r="A45" s="11" t="str"/>
      <x:c r="B45" s="11" t="str"/>
      <x:c r="C45" s="11" t="str"/>
      <x:c r="D45" s="11" t="str"/>
      <x:c r="E45" s="11" t="str"/>
      <x:c r="F45" s="11" t="str"/>
      <x:c r="G45" s="11" t="str"/>
      <x:c r="H45" s="11" t="str"/>
      <x:c r="I45" s="11" t="str"/>
      <x:c r="J45" s="11" t="str"/>
      <x:c r="K45" s="11" t="str"/>
      <x:c r="L45" s="11" t="str"/>
      <x:c r="M45" s="11" t="str"/>
      <x:c r="N45" s="11" t="str"/>
      <x:c r="O45" s="11" t="str"/>
      <x:c r="P45" s="11" t="str"/>
      <x:c r="Q45" s="11" t="str"/>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H6:H45">
    <x:cfRule type="containsText" dxfId="3" priority="1" operator="containsText" text="Absent"/>
  </x:conditionalFormatting>
  <x:conditionalFormatting sqref="N6:N45">
    <x:cfRule type="containsText" dxfId="4" priority="2" operator="containsText" text="Critical"/>
  </x:conditionalFormatting>
  <x:dataValidations count="9">
    <x:dataValidation type="list" sqref="F6:F45">
      <x:formula1>"API or service,Secure file transfer,Shared platform,Database connection,Email or manual file,Paper or physical media,Web collection,Other"</x:formula1>
    </x:dataValidation>
    <x:dataValidation type="list" sqref="G6:G45">
      <x:formula1>"Continuous,Daily,Weekly,Monthly,Quarterly,Annual,Ad hoc"</x:formula1>
    </x:dataValidation>
    <x:dataValidation type="list" sqref="H6:H45">
      <x:formula1>"Active agreement,Draft agreement,Expired,Absent,Not required,Unknown"</x:formula1>
    </x:dataValidation>
    <x:dataValidation type="list" sqref="I6:I45">
      <x:formula1>"Meets need,Sometimes late,Consistently late,Not measured,Unknown"</x:formula1>
    </x:dataValidation>
    <x:dataValidation type="list" sqref="J6:J45">
      <x:formula1>"Documented and applied,Partial,Absent,Unknown"</x:formula1>
    </x:dataValidation>
    <x:dataValidation type="list" sqref="K6:K45">
      <x:formula1>"Standardized,Partially standardized,Proprietary or manual,Unknown"</x:formula1>
    </x:dataValidation>
    <x:dataValidation type="list" sqref="L6:L45">
      <x:formula1>"Tested,Documented not tested,Absent,Unknown"</x:formula1>
    </x:dataValidation>
    <x:dataValidation type="list" sqref="M6:M45">
      <x:formula1>"Active,Planned,Suspended,Stopped"</x:formula1>
    </x:dataValidation>
    <x:dataValidation type="list" sqref="N6:N45">
      <x:formula1>"Critical,Important,Supporting,Not assessed"</x:formula1>
    </x:dataValidation>
  </x:dataValidations>
  <x:pageMargins left="0.7" right="0.7" top="0.75" bottom="0.75" header="0.3" footer="0.3"/>
</x:worksheet>
</file>

<file path=xl/worksheets/sheet5.xml><?xml version="1.0" encoding="utf-8"?>
<x:worksheet xmlns:x="http://schemas.openxmlformats.org/spreadsheetml/2006/main">
  <x:sheetPr>
    <x:tabColor rgb="FF4F81BD"/>
  </x:sheetPr>
  <x:sheetViews>
    <x:sheetView showGridLines="0" workbookViewId="0">
      <x:pane xSplit="2" ySplit="5" topLeftCell="C6" activePane="bottomRight" state="frozen"/>
    </x:sheetView>
  </x:sheetViews>
  <x:sheetFormatPr defaultRowHeight="15"/>
  <x:cols>
    <x:col min="1" max="1" width="13" hidden="0" customWidth="1"/>
    <x:col min="2" max="2" width="21" hidden="0" customWidth="1"/>
    <x:col min="3" max="3" width="22" hidden="0" customWidth="1"/>
    <x:col min="4" max="4" width="38" hidden="0" customWidth="1"/>
    <x:col min="5" max="5" width="34" hidden="0" customWidth="1"/>
    <x:col min="6" max="6" width="25" hidden="0" customWidth="1"/>
    <x:col min="7" max="7" width="18" hidden="0" customWidth="1"/>
    <x:col min="8" max="8" width="23" hidden="0" customWidth="1"/>
    <x:col min="9" max="9" width="22" hidden="0" customWidth="1"/>
    <x:col min="10" max="10" width="34" hidden="0" customWidth="1"/>
    <x:col min="11" max="11" width="28" hidden="0" customWidth="1"/>
    <x:col min="12" max="12" width="20" hidden="0" customWidth="1"/>
    <x:col min="13" max="13" width="36" hidden="0" customWidth="1"/>
    <x:col min="14" max="14" width="15" hidden="0" customWidth="1"/>
    <x:col min="15" max="15" width="28" hidden="0" customWidth="1"/>
    <x:col min="16" max="16"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User Needs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Connect statistical information to concrete decisions, users, quality requirements and unmet needs.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Need ID</x:v>
      </x:c>
      <x:c r="B5" s="8" t="str">
        <x:v>User institution ID</x:v>
      </x:c>
      <x:c r="C5" s="8" t="str">
        <x:v>User group</x:v>
      </x:c>
      <x:c r="D5" s="8" t="str">
        <x:v>Decision or operational use</x:v>
      </x:c>
      <x:c r="E5" s="8" t="str">
        <x:v>Required indicator or product</x:v>
      </x:c>
      <x:c r="F5" s="8" t="str">
        <x:v>Source asset or product</x:v>
      </x:c>
      <x:c r="G5" s="8" t="str">
        <x:v>Frequency needed</x:v>
      </x:c>
      <x:c r="H5" s="8" t="str">
        <x:v>Geographic granularity</x:v>
      </x:c>
      <x:c r="I5" s="8" t="str">
        <x:v>Timeliness requirement</x:v>
      </x:c>
      <x:c r="J5" s="8" t="str">
        <x:v>Quality or fitness criteria</x:v>
      </x:c>
      <x:c r="K5" s="8" t="str">
        <x:v>Access or dissemination channel</x:v>
      </x:c>
      <x:c r="L5" s="8" t="str">
        <x:v>Current satisfaction</x:v>
      </x:c>
      <x:c r="M5" s="8" t="str">
        <x:v>Unmet need or limitation</x:v>
      </x:c>
      <x:c r="N5" s="8" t="str">
        <x:v>Priority</x:v>
      </x:c>
      <x:c r="O5" s="8" t="str">
        <x:v>Consultation evidence</x:v>
      </x:c>
      <x:c r="P5" s="8" t="str">
        <x:v>Responsible producer</x:v>
      </x:c>
      <x:c r="Q5" s="2"/>
      <x:c r="R5" s="2"/>
      <x:c r="S5" s="2"/>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10" t="str"/>
      <x:c r="O6" s="10" t="str"/>
      <x:c r="P6" s="10" t="str"/>
      <x:c r="Q6" s="2"/>
      <x:c r="R6" s="2"/>
      <x:c r="S6" s="2"/>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10" t="str"/>
      <x:c r="O7" s="10" t="str"/>
      <x:c r="P7" s="10" t="str"/>
      <x:c r="Q7" s="2"/>
      <x:c r="R7" s="2"/>
      <x:c r="S7" s="2"/>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10" t="str"/>
      <x:c r="O8" s="10" t="str"/>
      <x:c r="P8" s="10" t="str"/>
      <x:c r="Q8" s="2"/>
      <x:c r="R8" s="2"/>
      <x:c r="S8" s="2"/>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10" t="str"/>
      <x:c r="O9" s="10" t="str"/>
      <x:c r="P9" s="10" t="str"/>
      <x:c r="Q9" s="2"/>
      <x:c r="R9" s="2"/>
      <x:c r="S9" s="2"/>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10" t="str"/>
      <x:c r="O10" s="10" t="str"/>
      <x:c r="P10" s="10" t="str"/>
      <x:c r="Q10" s="2"/>
      <x:c r="R10" s="2"/>
      <x:c r="S10" s="2"/>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10" t="str"/>
      <x:c r="O11" s="10" t="str"/>
      <x:c r="P11" s="10" t="str"/>
      <x:c r="Q11" s="2"/>
      <x:c r="R11" s="2"/>
      <x:c r="S11" s="2"/>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10" t="str"/>
      <x:c r="O12" s="10" t="str"/>
      <x:c r="P12" s="10" t="str"/>
      <x:c r="Q12" s="2"/>
      <x:c r="R12" s="2"/>
      <x:c r="S12" s="2"/>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10" t="str"/>
      <x:c r="O13" s="10" t="str"/>
      <x:c r="P13" s="10" t="str"/>
      <x:c r="Q13" s="2"/>
      <x:c r="R13" s="2"/>
      <x:c r="S13" s="2"/>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10" t="str"/>
      <x:c r="O14" s="10" t="str"/>
      <x:c r="P14" s="10" t="str"/>
      <x:c r="Q14" s="2"/>
      <x:c r="R14" s="2"/>
      <x:c r="S14" s="2"/>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10" t="str"/>
      <x:c r="O15" s="10" t="str"/>
      <x:c r="P15" s="10" t="str"/>
      <x:c r="Q15" s="2"/>
      <x:c r="R15" s="2"/>
      <x:c r="S15" s="2"/>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10" t="str"/>
      <x:c r="O16" s="10" t="str"/>
      <x:c r="P16" s="10" t="str"/>
      <x:c r="Q16" s="2"/>
      <x:c r="R16" s="2"/>
      <x:c r="S16" s="2"/>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10" t="str"/>
      <x:c r="O17" s="10" t="str"/>
      <x:c r="P17" s="10" t="str"/>
      <x:c r="Q17" s="2"/>
      <x:c r="R17" s="2"/>
      <x:c r="S17" s="2"/>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10" t="str"/>
      <x:c r="O18" s="10" t="str"/>
      <x:c r="P18" s="10" t="str"/>
      <x:c r="Q18" s="2"/>
      <x:c r="R18" s="2"/>
      <x:c r="S18" s="2"/>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10" t="str"/>
      <x:c r="O19" s="10" t="str"/>
      <x:c r="P19" s="10" t="str"/>
      <x:c r="Q19" s="2"/>
      <x:c r="R19" s="2"/>
      <x:c r="S19" s="2"/>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10" t="str"/>
      <x:c r="O20" s="10" t="str"/>
      <x:c r="P20" s="10" t="str"/>
      <x:c r="Q20" s="2"/>
      <x:c r="R20" s="2"/>
      <x:c r="S20" s="2"/>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10" t="str"/>
      <x:c r="O21" s="10" t="str"/>
      <x:c r="P21" s="10" t="str"/>
      <x:c r="Q21" s="2"/>
      <x:c r="R21" s="2"/>
      <x:c r="S21" s="2"/>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10" t="str"/>
      <x:c r="O22" s="10" t="str"/>
      <x:c r="P22" s="10" t="str"/>
      <x:c r="Q22" s="2"/>
      <x:c r="R22" s="2"/>
      <x:c r="S22" s="2"/>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10" t="str"/>
      <x:c r="O23" s="10" t="str"/>
      <x:c r="P23" s="10" t="str"/>
      <x:c r="Q23" s="2"/>
      <x:c r="R23" s="2"/>
      <x:c r="S23" s="2"/>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10" t="str"/>
      <x:c r="O24" s="10" t="str"/>
      <x:c r="P24" s="10" t="str"/>
      <x:c r="Q24" s="2"/>
      <x:c r="R24" s="2"/>
      <x:c r="S24" s="2"/>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10" t="str"/>
      <x:c r="O25" s="10" t="str"/>
      <x:c r="P25" s="10" t="str"/>
      <x:c r="Q25" s="2"/>
      <x:c r="R25" s="2"/>
      <x:c r="S25" s="2"/>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10" t="str"/>
      <x:c r="O26" s="10" t="str"/>
      <x:c r="P26" s="10" t="str"/>
      <x:c r="Q26" s="2"/>
      <x:c r="R26" s="2"/>
      <x:c r="S26" s="2"/>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10" t="str"/>
      <x:c r="O27" s="10" t="str"/>
      <x:c r="P27" s="10" t="str"/>
      <x:c r="Q27" s="2"/>
      <x:c r="R27" s="2"/>
      <x:c r="S27" s="2"/>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10" t="str"/>
      <x:c r="O28" s="10" t="str"/>
      <x:c r="P28" s="10" t="str"/>
      <x:c r="Q28" s="2"/>
      <x:c r="R28" s="2"/>
      <x:c r="S28" s="2"/>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10" t="str"/>
      <x:c r="O29" s="10" t="str"/>
      <x:c r="P29" s="10" t="str"/>
      <x:c r="Q29" s="2"/>
      <x:c r="R29" s="2"/>
      <x:c r="S29" s="2"/>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10" t="str"/>
      <x:c r="O30" s="10" t="str"/>
      <x:c r="P30" s="10" t="str"/>
      <x:c r="Q30" s="2"/>
      <x:c r="R30" s="2"/>
      <x:c r="S30" s="2"/>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10" t="str"/>
      <x:c r="O31" s="10" t="str"/>
      <x:c r="P31" s="10" t="str"/>
      <x:c r="Q31" s="2"/>
      <x:c r="R31" s="2"/>
      <x:c r="S31" s="2"/>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10" t="str"/>
      <x:c r="O32" s="10" t="str"/>
      <x:c r="P32" s="10" t="str"/>
      <x:c r="Q32" s="2"/>
      <x:c r="R32" s="2"/>
      <x:c r="S32" s="2"/>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10" t="str"/>
      <x:c r="O33" s="10" t="str"/>
      <x:c r="P33" s="10" t="str"/>
      <x:c r="Q33" s="2"/>
      <x:c r="R33" s="2"/>
      <x:c r="S33" s="2"/>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10" t="str"/>
      <x:c r="O34" s="10" t="str"/>
      <x:c r="P34" s="10" t="str"/>
      <x:c r="Q34" s="2"/>
      <x:c r="R34" s="2"/>
      <x:c r="S34" s="2"/>
      <x:c r="T34" s="2"/>
      <x:c r="U34" s="2"/>
      <x:c r="V34" s="2"/>
      <x:c r="W34" s="2"/>
      <x:c r="X34" s="2"/>
      <x:c r="Y34" s="2"/>
      <x:c r="Z34" s="2"/>
    </x:row>
    <x:row r="35" ht="38" customHeight="1">
      <x:c r="A35" s="11" t="str"/>
      <x:c r="B35" s="11" t="str"/>
      <x:c r="C35" s="11" t="str"/>
      <x:c r="D35" s="11" t="str"/>
      <x:c r="E35" s="11" t="str"/>
      <x:c r="F35" s="11" t="str"/>
      <x:c r="G35" s="11" t="str"/>
      <x:c r="H35" s="11" t="str"/>
      <x:c r="I35" s="11" t="str"/>
      <x:c r="J35" s="11" t="str"/>
      <x:c r="K35" s="11" t="str"/>
      <x:c r="L35" s="11" t="str"/>
      <x:c r="M35" s="11" t="str"/>
      <x:c r="N35" s="11" t="str"/>
      <x:c r="O35" s="11" t="str"/>
      <x:c r="P35" s="11" t="str"/>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L6:L35">
    <x:cfRule type="containsText" dxfId="5" priority="1" operator="containsText" text="Not satisfied"/>
  </x:conditionalFormatting>
  <x:dataValidations count="3">
    <x:dataValidation type="list" sqref="C6:C35">
      <x:formula1>"Government policy,Programme management,Local administration,Research,Business or producer,Civil society,Media,General public,International reporting,Other"</x:formula1>
    </x:dataValidation>
    <x:dataValidation type="list" sqref="L6:L35">
      <x:formula1>"Satisfied,Partly satisfied,Not satisfied,Not assessed"</x:formula1>
    </x:dataValidation>
    <x:dataValidation type="list" sqref="N6:N35">
      <x:formula1>"Critical,High,Medium,Low"</x:formula1>
    </x:dataValidation>
  </x:dataValidations>
  <x:pageMargins left="0.7" right="0.7" top="0.75" bottom="0.75" header="0.3" footer="0.3"/>
</x:worksheet>
</file>

<file path=xl/worksheets/sheet6.xml><?xml version="1.0" encoding="utf-8"?>
<x:worksheet xmlns:x="http://schemas.openxmlformats.org/spreadsheetml/2006/main">
  <x:sheetPr>
    <x:tabColor rgb="FF4F81BD"/>
  </x:sheetPr>
  <x:sheetViews>
    <x:sheetView showGridLines="0" workbookViewId="0">
      <x:pane xSplit="2" ySplit="5" topLeftCell="C6" activePane="bottomRight" state="frozen"/>
    </x:sheetView>
  </x:sheetViews>
  <x:sheetFormatPr defaultRowHeight="15"/>
  <x:cols>
    <x:col min="1" max="1" width="16" hidden="0" customWidth="1"/>
    <x:col min="2" max="2" width="30" hidden="0" customWidth="1"/>
    <x:col min="3" max="3" width="23" hidden="0" customWidth="1"/>
    <x:col min="4" max="4" width="25" hidden="0" customWidth="1"/>
    <x:col min="5" max="5" width="40" hidden="0" customWidth="1"/>
    <x:col min="6" max="6" width="36" hidden="0" customWidth="1"/>
    <x:col min="7" max="7" width="30" hidden="0" customWidth="1"/>
    <x:col min="8" max="8" width="30" hidden="0" customWidth="1"/>
    <x:col min="9" max="9" width="20" hidden="0" customWidth="1"/>
    <x:col min="10" max="10" width="34" hidden="0" customWidth="1"/>
    <x:col min="11" max="11" width="20" hidden="0" customWidth="1"/>
    <x:col min="12" max="12" width="34" hidden="0" customWidth="1"/>
    <x:col min="13" max="13" width="32" hidden="0" customWidth="1"/>
    <x:col min="14" max="14"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Coordination</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Record the formal and informal mechanisms through which the statistical system makes joint decisions.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Arrangement ID</x:v>
      </x:c>
      <x:c r="B5" s="8" t="str">
        <x:v>Arrangement name</x:v>
      </x:c>
      <x:c r="C5" s="8" t="str">
        <x:v>Level</x:v>
      </x:c>
      <x:c r="D5" s="8" t="str">
        <x:v>Chair or secretariat</x:v>
      </x:c>
      <x:c r="E5" s="8" t="str">
        <x:v>Participants</x:v>
      </x:c>
      <x:c r="F5" s="8" t="str">
        <x:v>Mandate and legal basis</x:v>
      </x:c>
      <x:c r="G5" s="8" t="str">
        <x:v>Scope</x:v>
      </x:c>
      <x:c r="H5" s="8" t="str">
        <x:v>Decision rights</x:v>
      </x:c>
      <x:c r="I5" s="8" t="str">
        <x:v>Meeting frequency</x:v>
      </x:c>
      <x:c r="J5" s="8" t="str">
        <x:v>Evidence of decisions implemented</x:v>
      </x:c>
      <x:c r="K5" s="8" t="str">
        <x:v>Effectiveness</x:v>
      </x:c>
      <x:c r="L5" s="8" t="str">
        <x:v>Main coordination gap</x:v>
      </x:c>
      <x:c r="M5" s="8" t="str">
        <x:v>Resource or inclusion issue</x:v>
      </x:c>
      <x:c r="N5" s="8" t="str">
        <x:v>Evidence reference</x:v>
      </x:c>
      <x:c r="O5" s="2"/>
      <x:c r="P5" s="2"/>
      <x:c r="Q5" s="2"/>
      <x:c r="R5" s="2"/>
      <x:c r="S5" s="2"/>
      <x:c r="T5" s="2"/>
      <x:c r="U5" s="2"/>
      <x:c r="V5" s="2"/>
      <x:c r="W5" s="2"/>
      <x:c r="X5" s="2"/>
      <x:c r="Y5" s="2"/>
      <x:c r="Z5" s="2"/>
    </x:row>
    <x:row r="6" ht="40" customHeight="1">
      <x:c r="A6" s="10" t="str"/>
      <x:c r="B6" s="10" t="str"/>
      <x:c r="C6" s="10" t="str"/>
      <x:c r="D6" s="10" t="str"/>
      <x:c r="E6" s="10" t="str"/>
      <x:c r="F6" s="10" t="str"/>
      <x:c r="G6" s="10" t="str"/>
      <x:c r="H6" s="10" t="str"/>
      <x:c r="I6" s="10" t="str"/>
      <x:c r="J6" s="10" t="str"/>
      <x:c r="K6" s="10" t="str"/>
      <x:c r="L6" s="10" t="str"/>
      <x:c r="M6" s="10" t="str"/>
      <x:c r="N6" s="10" t="str"/>
      <x:c r="O6" s="2"/>
      <x:c r="P6" s="2"/>
      <x:c r="Q6" s="2"/>
      <x:c r="R6" s="2"/>
      <x:c r="S6" s="2"/>
      <x:c r="T6" s="2"/>
      <x:c r="U6" s="2"/>
      <x:c r="V6" s="2"/>
      <x:c r="W6" s="2"/>
      <x:c r="X6" s="2"/>
      <x:c r="Y6" s="2"/>
      <x:c r="Z6" s="2"/>
    </x:row>
    <x:row r="7" ht="40" customHeight="1">
      <x:c r="A7" s="10" t="str"/>
      <x:c r="B7" s="10" t="str"/>
      <x:c r="C7" s="10" t="str"/>
      <x:c r="D7" s="10" t="str"/>
      <x:c r="E7" s="10" t="str"/>
      <x:c r="F7" s="10" t="str"/>
      <x:c r="G7" s="10" t="str"/>
      <x:c r="H7" s="10" t="str"/>
      <x:c r="I7" s="10" t="str"/>
      <x:c r="J7" s="10" t="str"/>
      <x:c r="K7" s="10" t="str"/>
      <x:c r="L7" s="10" t="str"/>
      <x:c r="M7" s="10" t="str"/>
      <x:c r="N7" s="10" t="str"/>
      <x:c r="O7" s="2"/>
      <x:c r="P7" s="2"/>
      <x:c r="Q7" s="2"/>
      <x:c r="R7" s="2"/>
      <x:c r="S7" s="2"/>
      <x:c r="T7" s="2"/>
      <x:c r="U7" s="2"/>
      <x:c r="V7" s="2"/>
      <x:c r="W7" s="2"/>
      <x:c r="X7" s="2"/>
      <x:c r="Y7" s="2"/>
      <x:c r="Z7" s="2"/>
    </x:row>
    <x:row r="8" ht="40" customHeight="1">
      <x:c r="A8" s="10" t="str"/>
      <x:c r="B8" s="10" t="str"/>
      <x:c r="C8" s="10" t="str"/>
      <x:c r="D8" s="10" t="str"/>
      <x:c r="E8" s="10" t="str"/>
      <x:c r="F8" s="10" t="str"/>
      <x:c r="G8" s="10" t="str"/>
      <x:c r="H8" s="10" t="str"/>
      <x:c r="I8" s="10" t="str"/>
      <x:c r="J8" s="10" t="str"/>
      <x:c r="K8" s="10" t="str"/>
      <x:c r="L8" s="10" t="str"/>
      <x:c r="M8" s="10" t="str"/>
      <x:c r="N8" s="10" t="str"/>
      <x:c r="O8" s="2"/>
      <x:c r="P8" s="2"/>
      <x:c r="Q8" s="2"/>
      <x:c r="R8" s="2"/>
      <x:c r="S8" s="2"/>
      <x:c r="T8" s="2"/>
      <x:c r="U8" s="2"/>
      <x:c r="V8" s="2"/>
      <x:c r="W8" s="2"/>
      <x:c r="X8" s="2"/>
      <x:c r="Y8" s="2"/>
      <x:c r="Z8" s="2"/>
    </x:row>
    <x:row r="9" ht="40" customHeight="1">
      <x:c r="A9" s="10" t="str"/>
      <x:c r="B9" s="10" t="str"/>
      <x:c r="C9" s="10" t="str"/>
      <x:c r="D9" s="10" t="str"/>
      <x:c r="E9" s="10" t="str"/>
      <x:c r="F9" s="10" t="str"/>
      <x:c r="G9" s="10" t="str"/>
      <x:c r="H9" s="10" t="str"/>
      <x:c r="I9" s="10" t="str"/>
      <x:c r="J9" s="10" t="str"/>
      <x:c r="K9" s="10" t="str"/>
      <x:c r="L9" s="10" t="str"/>
      <x:c r="M9" s="10" t="str"/>
      <x:c r="N9" s="10" t="str"/>
      <x:c r="O9" s="2"/>
      <x:c r="P9" s="2"/>
      <x:c r="Q9" s="2"/>
      <x:c r="R9" s="2"/>
      <x:c r="S9" s="2"/>
      <x:c r="T9" s="2"/>
      <x:c r="U9" s="2"/>
      <x:c r="V9" s="2"/>
      <x:c r="W9" s="2"/>
      <x:c r="X9" s="2"/>
      <x:c r="Y9" s="2"/>
      <x:c r="Z9" s="2"/>
    </x:row>
    <x:row r="10" ht="40" customHeight="1">
      <x:c r="A10" s="10" t="str"/>
      <x:c r="B10" s="10" t="str"/>
      <x:c r="C10" s="10" t="str"/>
      <x:c r="D10" s="10" t="str"/>
      <x:c r="E10" s="10" t="str"/>
      <x:c r="F10" s="10" t="str"/>
      <x:c r="G10" s="10" t="str"/>
      <x:c r="H10" s="10" t="str"/>
      <x:c r="I10" s="10" t="str"/>
      <x:c r="J10" s="10" t="str"/>
      <x:c r="K10" s="10" t="str"/>
      <x:c r="L10" s="10" t="str"/>
      <x:c r="M10" s="10" t="str"/>
      <x:c r="N10" s="10" t="str"/>
      <x:c r="O10" s="2"/>
      <x:c r="P10" s="2"/>
      <x:c r="Q10" s="2"/>
      <x:c r="R10" s="2"/>
      <x:c r="S10" s="2"/>
      <x:c r="T10" s="2"/>
      <x:c r="U10" s="2"/>
      <x:c r="V10" s="2"/>
      <x:c r="W10" s="2"/>
      <x:c r="X10" s="2"/>
      <x:c r="Y10" s="2"/>
      <x:c r="Z10" s="2"/>
    </x:row>
    <x:row r="11" ht="40" customHeight="1">
      <x:c r="A11" s="10" t="str"/>
      <x:c r="B11" s="10" t="str"/>
      <x:c r="C11" s="10" t="str"/>
      <x:c r="D11" s="10" t="str"/>
      <x:c r="E11" s="10" t="str"/>
      <x:c r="F11" s="10" t="str"/>
      <x:c r="G11" s="10" t="str"/>
      <x:c r="H11" s="10" t="str"/>
      <x:c r="I11" s="10" t="str"/>
      <x:c r="J11" s="10" t="str"/>
      <x:c r="K11" s="10" t="str"/>
      <x:c r="L11" s="10" t="str"/>
      <x:c r="M11" s="10" t="str"/>
      <x:c r="N11" s="10" t="str"/>
      <x:c r="O11" s="2"/>
      <x:c r="P11" s="2"/>
      <x:c r="Q11" s="2"/>
      <x:c r="R11" s="2"/>
      <x:c r="S11" s="2"/>
      <x:c r="T11" s="2"/>
      <x:c r="U11" s="2"/>
      <x:c r="V11" s="2"/>
      <x:c r="W11" s="2"/>
      <x:c r="X11" s="2"/>
      <x:c r="Y11" s="2"/>
      <x:c r="Z11" s="2"/>
    </x:row>
    <x:row r="12" ht="40" customHeight="1">
      <x:c r="A12" s="10" t="str"/>
      <x:c r="B12" s="10" t="str"/>
      <x:c r="C12" s="10" t="str"/>
      <x:c r="D12" s="10" t="str"/>
      <x:c r="E12" s="10" t="str"/>
      <x:c r="F12" s="10" t="str"/>
      <x:c r="G12" s="10" t="str"/>
      <x:c r="H12" s="10" t="str"/>
      <x:c r="I12" s="10" t="str"/>
      <x:c r="J12" s="10" t="str"/>
      <x:c r="K12" s="10" t="str"/>
      <x:c r="L12" s="10" t="str"/>
      <x:c r="M12" s="10" t="str"/>
      <x:c r="N12" s="10" t="str"/>
      <x:c r="O12" s="2"/>
      <x:c r="P12" s="2"/>
      <x:c r="Q12" s="2"/>
      <x:c r="R12" s="2"/>
      <x:c r="S12" s="2"/>
      <x:c r="T12" s="2"/>
      <x:c r="U12" s="2"/>
      <x:c r="V12" s="2"/>
      <x:c r="W12" s="2"/>
      <x:c r="X12" s="2"/>
      <x:c r="Y12" s="2"/>
      <x:c r="Z12" s="2"/>
    </x:row>
    <x:row r="13" ht="40" customHeight="1">
      <x:c r="A13" s="10" t="str"/>
      <x:c r="B13" s="10" t="str"/>
      <x:c r="C13" s="10" t="str"/>
      <x:c r="D13" s="10" t="str"/>
      <x:c r="E13" s="10" t="str"/>
      <x:c r="F13" s="10" t="str"/>
      <x:c r="G13" s="10" t="str"/>
      <x:c r="H13" s="10" t="str"/>
      <x:c r="I13" s="10" t="str"/>
      <x:c r="J13" s="10" t="str"/>
      <x:c r="K13" s="10" t="str"/>
      <x:c r="L13" s="10" t="str"/>
      <x:c r="M13" s="10" t="str"/>
      <x:c r="N13" s="10" t="str"/>
      <x:c r="O13" s="2"/>
      <x:c r="P13" s="2"/>
      <x:c r="Q13" s="2"/>
      <x:c r="R13" s="2"/>
      <x:c r="S13" s="2"/>
      <x:c r="T13" s="2"/>
      <x:c r="U13" s="2"/>
      <x:c r="V13" s="2"/>
      <x:c r="W13" s="2"/>
      <x:c r="X13" s="2"/>
      <x:c r="Y13" s="2"/>
      <x:c r="Z13" s="2"/>
    </x:row>
    <x:row r="14" ht="40" customHeight="1">
      <x:c r="A14" s="10" t="str"/>
      <x:c r="B14" s="10" t="str"/>
      <x:c r="C14" s="10" t="str"/>
      <x:c r="D14" s="10" t="str"/>
      <x:c r="E14" s="10" t="str"/>
      <x:c r="F14" s="10" t="str"/>
      <x:c r="G14" s="10" t="str"/>
      <x:c r="H14" s="10" t="str"/>
      <x:c r="I14" s="10" t="str"/>
      <x:c r="J14" s="10" t="str"/>
      <x:c r="K14" s="10" t="str"/>
      <x:c r="L14" s="10" t="str"/>
      <x:c r="M14" s="10" t="str"/>
      <x:c r="N14" s="10" t="str"/>
      <x:c r="O14" s="2"/>
      <x:c r="P14" s="2"/>
      <x:c r="Q14" s="2"/>
      <x:c r="R14" s="2"/>
      <x:c r="S14" s="2"/>
      <x:c r="T14" s="2"/>
      <x:c r="U14" s="2"/>
      <x:c r="V14" s="2"/>
      <x:c r="W14" s="2"/>
      <x:c r="X14" s="2"/>
      <x:c r="Y14" s="2"/>
      <x:c r="Z14" s="2"/>
    </x:row>
    <x:row r="15" ht="40" customHeight="1">
      <x:c r="A15" s="10" t="str"/>
      <x:c r="B15" s="10" t="str"/>
      <x:c r="C15" s="10" t="str"/>
      <x:c r="D15" s="10" t="str"/>
      <x:c r="E15" s="10" t="str"/>
      <x:c r="F15" s="10" t="str"/>
      <x:c r="G15" s="10" t="str"/>
      <x:c r="H15" s="10" t="str"/>
      <x:c r="I15" s="10" t="str"/>
      <x:c r="J15" s="10" t="str"/>
      <x:c r="K15" s="10" t="str"/>
      <x:c r="L15" s="10" t="str"/>
      <x:c r="M15" s="10" t="str"/>
      <x:c r="N15" s="10" t="str"/>
      <x:c r="O15" s="2"/>
      <x:c r="P15" s="2"/>
      <x:c r="Q15" s="2"/>
      <x:c r="R15" s="2"/>
      <x:c r="S15" s="2"/>
      <x:c r="T15" s="2"/>
      <x:c r="U15" s="2"/>
      <x:c r="V15" s="2"/>
      <x:c r="W15" s="2"/>
      <x:c r="X15" s="2"/>
      <x:c r="Y15" s="2"/>
      <x:c r="Z15" s="2"/>
    </x:row>
    <x:row r="16" ht="40" customHeight="1">
      <x:c r="A16" s="10" t="str"/>
      <x:c r="B16" s="10" t="str"/>
      <x:c r="C16" s="10" t="str"/>
      <x:c r="D16" s="10" t="str"/>
      <x:c r="E16" s="10" t="str"/>
      <x:c r="F16" s="10" t="str"/>
      <x:c r="G16" s="10" t="str"/>
      <x:c r="H16" s="10" t="str"/>
      <x:c r="I16" s="10" t="str"/>
      <x:c r="J16" s="10" t="str"/>
      <x:c r="K16" s="10" t="str"/>
      <x:c r="L16" s="10" t="str"/>
      <x:c r="M16" s="10" t="str"/>
      <x:c r="N16" s="10" t="str"/>
      <x:c r="O16" s="2"/>
      <x:c r="P16" s="2"/>
      <x:c r="Q16" s="2"/>
      <x:c r="R16" s="2"/>
      <x:c r="S16" s="2"/>
      <x:c r="T16" s="2"/>
      <x:c r="U16" s="2"/>
      <x:c r="V16" s="2"/>
      <x:c r="W16" s="2"/>
      <x:c r="X16" s="2"/>
      <x:c r="Y16" s="2"/>
      <x:c r="Z16" s="2"/>
    </x:row>
    <x:row r="17" ht="40" customHeight="1">
      <x:c r="A17" s="10" t="str"/>
      <x:c r="B17" s="10" t="str"/>
      <x:c r="C17" s="10" t="str"/>
      <x:c r="D17" s="10" t="str"/>
      <x:c r="E17" s="10" t="str"/>
      <x:c r="F17" s="10" t="str"/>
      <x:c r="G17" s="10" t="str"/>
      <x:c r="H17" s="10" t="str"/>
      <x:c r="I17" s="10" t="str"/>
      <x:c r="J17" s="10" t="str"/>
      <x:c r="K17" s="10" t="str"/>
      <x:c r="L17" s="10" t="str"/>
      <x:c r="M17" s="10" t="str"/>
      <x:c r="N17" s="10" t="str"/>
      <x:c r="O17" s="2"/>
      <x:c r="P17" s="2"/>
      <x:c r="Q17" s="2"/>
      <x:c r="R17" s="2"/>
      <x:c r="S17" s="2"/>
      <x:c r="T17" s="2"/>
      <x:c r="U17" s="2"/>
      <x:c r="V17" s="2"/>
      <x:c r="W17" s="2"/>
      <x:c r="X17" s="2"/>
      <x:c r="Y17" s="2"/>
      <x:c r="Z17" s="2"/>
    </x:row>
    <x:row r="18" ht="40" customHeight="1">
      <x:c r="A18" s="10" t="str"/>
      <x:c r="B18" s="10" t="str"/>
      <x:c r="C18" s="10" t="str"/>
      <x:c r="D18" s="10" t="str"/>
      <x:c r="E18" s="10" t="str"/>
      <x:c r="F18" s="10" t="str"/>
      <x:c r="G18" s="10" t="str"/>
      <x:c r="H18" s="10" t="str"/>
      <x:c r="I18" s="10" t="str"/>
      <x:c r="J18" s="10" t="str"/>
      <x:c r="K18" s="10" t="str"/>
      <x:c r="L18" s="10" t="str"/>
      <x:c r="M18" s="10" t="str"/>
      <x:c r="N18" s="10" t="str"/>
      <x:c r="O18" s="2"/>
      <x:c r="P18" s="2"/>
      <x:c r="Q18" s="2"/>
      <x:c r="R18" s="2"/>
      <x:c r="S18" s="2"/>
      <x:c r="T18" s="2"/>
      <x:c r="U18" s="2"/>
      <x:c r="V18" s="2"/>
      <x:c r="W18" s="2"/>
      <x:c r="X18" s="2"/>
      <x:c r="Y18" s="2"/>
      <x:c r="Z18" s="2"/>
    </x:row>
    <x:row r="19" ht="40" customHeight="1">
      <x:c r="A19" s="10" t="str"/>
      <x:c r="B19" s="10" t="str"/>
      <x:c r="C19" s="10" t="str"/>
      <x:c r="D19" s="10" t="str"/>
      <x:c r="E19" s="10" t="str"/>
      <x:c r="F19" s="10" t="str"/>
      <x:c r="G19" s="10" t="str"/>
      <x:c r="H19" s="10" t="str"/>
      <x:c r="I19" s="10" t="str"/>
      <x:c r="J19" s="10" t="str"/>
      <x:c r="K19" s="10" t="str"/>
      <x:c r="L19" s="10" t="str"/>
      <x:c r="M19" s="10" t="str"/>
      <x:c r="N19" s="10" t="str"/>
      <x:c r="O19" s="2"/>
      <x:c r="P19" s="2"/>
      <x:c r="Q19" s="2"/>
      <x:c r="R19" s="2"/>
      <x:c r="S19" s="2"/>
      <x:c r="T19" s="2"/>
      <x:c r="U19" s="2"/>
      <x:c r="V19" s="2"/>
      <x:c r="W19" s="2"/>
      <x:c r="X19" s="2"/>
      <x:c r="Y19" s="2"/>
      <x:c r="Z19" s="2"/>
    </x:row>
    <x:row r="20" ht="40" customHeight="1">
      <x:c r="A20" s="10" t="str"/>
      <x:c r="B20" s="10" t="str"/>
      <x:c r="C20" s="10" t="str"/>
      <x:c r="D20" s="10" t="str"/>
      <x:c r="E20" s="10" t="str"/>
      <x:c r="F20" s="10" t="str"/>
      <x:c r="G20" s="10" t="str"/>
      <x:c r="H20" s="10" t="str"/>
      <x:c r="I20" s="10" t="str"/>
      <x:c r="J20" s="10" t="str"/>
      <x:c r="K20" s="10" t="str"/>
      <x:c r="L20" s="10" t="str"/>
      <x:c r="M20" s="10" t="str"/>
      <x:c r="N20" s="10" t="str"/>
      <x:c r="O20" s="2"/>
      <x:c r="P20" s="2"/>
      <x:c r="Q20" s="2"/>
      <x:c r="R20" s="2"/>
      <x:c r="S20" s="2"/>
      <x:c r="T20" s="2"/>
      <x:c r="U20" s="2"/>
      <x:c r="V20" s="2"/>
      <x:c r="W20" s="2"/>
      <x:c r="X20" s="2"/>
      <x:c r="Y20" s="2"/>
      <x:c r="Z20" s="2"/>
    </x:row>
    <x:row r="21" ht="40" customHeight="1">
      <x:c r="A21" s="10" t="str"/>
      <x:c r="B21" s="10" t="str"/>
      <x:c r="C21" s="10" t="str"/>
      <x:c r="D21" s="10" t="str"/>
      <x:c r="E21" s="10" t="str"/>
      <x:c r="F21" s="10" t="str"/>
      <x:c r="G21" s="10" t="str"/>
      <x:c r="H21" s="10" t="str"/>
      <x:c r="I21" s="10" t="str"/>
      <x:c r="J21" s="10" t="str"/>
      <x:c r="K21" s="10" t="str"/>
      <x:c r="L21" s="10" t="str"/>
      <x:c r="M21" s="10" t="str"/>
      <x:c r="N21" s="10" t="str"/>
      <x:c r="O21" s="2"/>
      <x:c r="P21" s="2"/>
      <x:c r="Q21" s="2"/>
      <x:c r="R21" s="2"/>
      <x:c r="S21" s="2"/>
      <x:c r="T21" s="2"/>
      <x:c r="U21" s="2"/>
      <x:c r="V21" s="2"/>
      <x:c r="W21" s="2"/>
      <x:c r="X21" s="2"/>
      <x:c r="Y21" s="2"/>
      <x:c r="Z21" s="2"/>
    </x:row>
    <x:row r="22" ht="40" customHeight="1">
      <x:c r="A22" s="10" t="str"/>
      <x:c r="B22" s="10" t="str"/>
      <x:c r="C22" s="10" t="str"/>
      <x:c r="D22" s="10" t="str"/>
      <x:c r="E22" s="10" t="str"/>
      <x:c r="F22" s="10" t="str"/>
      <x:c r="G22" s="10" t="str"/>
      <x:c r="H22" s="10" t="str"/>
      <x:c r="I22" s="10" t="str"/>
      <x:c r="J22" s="10" t="str"/>
      <x:c r="K22" s="10" t="str"/>
      <x:c r="L22" s="10" t="str"/>
      <x:c r="M22" s="10" t="str"/>
      <x:c r="N22" s="10" t="str"/>
      <x:c r="O22" s="2"/>
      <x:c r="P22" s="2"/>
      <x:c r="Q22" s="2"/>
      <x:c r="R22" s="2"/>
      <x:c r="S22" s="2"/>
      <x:c r="T22" s="2"/>
      <x:c r="U22" s="2"/>
      <x:c r="V22" s="2"/>
      <x:c r="W22" s="2"/>
      <x:c r="X22" s="2"/>
      <x:c r="Y22" s="2"/>
      <x:c r="Z22" s="2"/>
    </x:row>
    <x:row r="23" ht="40" customHeight="1">
      <x:c r="A23" s="10" t="str"/>
      <x:c r="B23" s="10" t="str"/>
      <x:c r="C23" s="10" t="str"/>
      <x:c r="D23" s="10" t="str"/>
      <x:c r="E23" s="10" t="str"/>
      <x:c r="F23" s="10" t="str"/>
      <x:c r="G23" s="10" t="str"/>
      <x:c r="H23" s="10" t="str"/>
      <x:c r="I23" s="10" t="str"/>
      <x:c r="J23" s="10" t="str"/>
      <x:c r="K23" s="10" t="str"/>
      <x:c r="L23" s="10" t="str"/>
      <x:c r="M23" s="10" t="str"/>
      <x:c r="N23" s="10" t="str"/>
      <x:c r="O23" s="2"/>
      <x:c r="P23" s="2"/>
      <x:c r="Q23" s="2"/>
      <x:c r="R23" s="2"/>
      <x:c r="S23" s="2"/>
      <x:c r="T23" s="2"/>
      <x:c r="U23" s="2"/>
      <x:c r="V23" s="2"/>
      <x:c r="W23" s="2"/>
      <x:c r="X23" s="2"/>
      <x:c r="Y23" s="2"/>
      <x:c r="Z23" s="2"/>
    </x:row>
    <x:row r="24" ht="40" customHeight="1">
      <x:c r="A24" s="10" t="str"/>
      <x:c r="B24" s="10" t="str"/>
      <x:c r="C24" s="10" t="str"/>
      <x:c r="D24" s="10" t="str"/>
      <x:c r="E24" s="10" t="str"/>
      <x:c r="F24" s="10" t="str"/>
      <x:c r="G24" s="10" t="str"/>
      <x:c r="H24" s="10" t="str"/>
      <x:c r="I24" s="10" t="str"/>
      <x:c r="J24" s="10" t="str"/>
      <x:c r="K24" s="10" t="str"/>
      <x:c r="L24" s="10" t="str"/>
      <x:c r="M24" s="10" t="str"/>
      <x:c r="N24" s="10" t="str"/>
      <x:c r="O24" s="2"/>
      <x:c r="P24" s="2"/>
      <x:c r="Q24" s="2"/>
      <x:c r="R24" s="2"/>
      <x:c r="S24" s="2"/>
      <x:c r="T24" s="2"/>
      <x:c r="U24" s="2"/>
      <x:c r="V24" s="2"/>
      <x:c r="W24" s="2"/>
      <x:c r="X24" s="2"/>
      <x:c r="Y24" s="2"/>
      <x:c r="Z24" s="2"/>
    </x:row>
    <x:row r="25" ht="40" customHeight="1">
      <x:c r="A25" s="10" t="str"/>
      <x:c r="B25" s="10" t="str"/>
      <x:c r="C25" s="10" t="str"/>
      <x:c r="D25" s="10" t="str"/>
      <x:c r="E25" s="10" t="str"/>
      <x:c r="F25" s="10" t="str"/>
      <x:c r="G25" s="10" t="str"/>
      <x:c r="H25" s="10" t="str"/>
      <x:c r="I25" s="10" t="str"/>
      <x:c r="J25" s="10" t="str"/>
      <x:c r="K25" s="10" t="str"/>
      <x:c r="L25" s="10" t="str"/>
      <x:c r="M25" s="10" t="str"/>
      <x:c r="N25" s="10" t="str"/>
      <x:c r="O25" s="2"/>
      <x:c r="P25" s="2"/>
      <x:c r="Q25" s="2"/>
      <x:c r="R25" s="2"/>
      <x:c r="S25" s="2"/>
      <x:c r="T25" s="2"/>
      <x:c r="U25" s="2"/>
      <x:c r="V25" s="2"/>
      <x:c r="W25" s="2"/>
      <x:c r="X25" s="2"/>
      <x:c r="Y25" s="2"/>
      <x:c r="Z25" s="2"/>
    </x:row>
    <x:row r="26" ht="40" customHeight="1">
      <x:c r="A26" s="10" t="str"/>
      <x:c r="B26" s="10" t="str"/>
      <x:c r="C26" s="10" t="str"/>
      <x:c r="D26" s="10" t="str"/>
      <x:c r="E26" s="10" t="str"/>
      <x:c r="F26" s="10" t="str"/>
      <x:c r="G26" s="10" t="str"/>
      <x:c r="H26" s="10" t="str"/>
      <x:c r="I26" s="10" t="str"/>
      <x:c r="J26" s="10" t="str"/>
      <x:c r="K26" s="10" t="str"/>
      <x:c r="L26" s="10" t="str"/>
      <x:c r="M26" s="10" t="str"/>
      <x:c r="N26" s="10" t="str"/>
      <x:c r="O26" s="2"/>
      <x:c r="P26" s="2"/>
      <x:c r="Q26" s="2"/>
      <x:c r="R26" s="2"/>
      <x:c r="S26" s="2"/>
      <x:c r="T26" s="2"/>
      <x:c r="U26" s="2"/>
      <x:c r="V26" s="2"/>
      <x:c r="W26" s="2"/>
      <x:c r="X26" s="2"/>
      <x:c r="Y26" s="2"/>
      <x:c r="Z26" s="2"/>
    </x:row>
    <x:row r="27" ht="40" customHeight="1">
      <x:c r="A27" s="10" t="str"/>
      <x:c r="B27" s="10" t="str"/>
      <x:c r="C27" s="10" t="str"/>
      <x:c r="D27" s="10" t="str"/>
      <x:c r="E27" s="10" t="str"/>
      <x:c r="F27" s="10" t="str"/>
      <x:c r="G27" s="10" t="str"/>
      <x:c r="H27" s="10" t="str"/>
      <x:c r="I27" s="10" t="str"/>
      <x:c r="J27" s="10" t="str"/>
      <x:c r="K27" s="10" t="str"/>
      <x:c r="L27" s="10" t="str"/>
      <x:c r="M27" s="10" t="str"/>
      <x:c r="N27" s="10" t="str"/>
      <x:c r="O27" s="2"/>
      <x:c r="P27" s="2"/>
      <x:c r="Q27" s="2"/>
      <x:c r="R27" s="2"/>
      <x:c r="S27" s="2"/>
      <x:c r="T27" s="2"/>
      <x:c r="U27" s="2"/>
      <x:c r="V27" s="2"/>
      <x:c r="W27" s="2"/>
      <x:c r="X27" s="2"/>
      <x:c r="Y27" s="2"/>
      <x:c r="Z27" s="2"/>
    </x:row>
    <x:row r="28" ht="40" customHeight="1">
      <x:c r="A28" s="10" t="str"/>
      <x:c r="B28" s="10" t="str"/>
      <x:c r="C28" s="10" t="str"/>
      <x:c r="D28" s="10" t="str"/>
      <x:c r="E28" s="10" t="str"/>
      <x:c r="F28" s="10" t="str"/>
      <x:c r="G28" s="10" t="str"/>
      <x:c r="H28" s="10" t="str"/>
      <x:c r="I28" s="10" t="str"/>
      <x:c r="J28" s="10" t="str"/>
      <x:c r="K28" s="10" t="str"/>
      <x:c r="L28" s="10" t="str"/>
      <x:c r="M28" s="10" t="str"/>
      <x:c r="N28" s="10" t="str"/>
      <x:c r="O28" s="2"/>
      <x:c r="P28" s="2"/>
      <x:c r="Q28" s="2"/>
      <x:c r="R28" s="2"/>
      <x:c r="S28" s="2"/>
      <x:c r="T28" s="2"/>
      <x:c r="U28" s="2"/>
      <x:c r="V28" s="2"/>
      <x:c r="W28" s="2"/>
      <x:c r="X28" s="2"/>
      <x:c r="Y28" s="2"/>
      <x:c r="Z28" s="2"/>
    </x:row>
    <x:row r="29" ht="40" customHeight="1">
      <x:c r="A29" s="10" t="str"/>
      <x:c r="B29" s="10" t="str"/>
      <x:c r="C29" s="10" t="str"/>
      <x:c r="D29" s="10" t="str"/>
      <x:c r="E29" s="10" t="str"/>
      <x:c r="F29" s="10" t="str"/>
      <x:c r="G29" s="10" t="str"/>
      <x:c r="H29" s="10" t="str"/>
      <x:c r="I29" s="10" t="str"/>
      <x:c r="J29" s="10" t="str"/>
      <x:c r="K29" s="10" t="str"/>
      <x:c r="L29" s="10" t="str"/>
      <x:c r="M29" s="10" t="str"/>
      <x:c r="N29" s="10" t="str"/>
      <x:c r="O29" s="2"/>
      <x:c r="P29" s="2"/>
      <x:c r="Q29" s="2"/>
      <x:c r="R29" s="2"/>
      <x:c r="S29" s="2"/>
      <x:c r="T29" s="2"/>
      <x:c r="U29" s="2"/>
      <x:c r="V29" s="2"/>
      <x:c r="W29" s="2"/>
      <x:c r="X29" s="2"/>
      <x:c r="Y29" s="2"/>
      <x:c r="Z29" s="2"/>
    </x:row>
    <x:row r="30" ht="40" customHeight="1">
      <x:c r="A30" s="11" t="str"/>
      <x:c r="B30" s="11" t="str"/>
      <x:c r="C30" s="11" t="str"/>
      <x:c r="D30" s="11" t="str"/>
      <x:c r="E30" s="11" t="str"/>
      <x:c r="F30" s="11" t="str"/>
      <x:c r="G30" s="11" t="str"/>
      <x:c r="H30" s="11" t="str"/>
      <x:c r="I30" s="11" t="str"/>
      <x:c r="J30" s="11" t="str"/>
      <x:c r="K30" s="11" t="str"/>
      <x:c r="L30" s="11" t="str"/>
      <x:c r="M30" s="11" t="str"/>
      <x:c r="N30" s="11" t="str"/>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K6:K30">
    <x:cfRule type="containsText" dxfId="6" priority="1" operator="containsText" text="Ineffective"/>
  </x:conditionalFormatting>
  <x:dataValidations count="3">
    <x:dataValidation type="list" sqref="C6:C30">
      <x:formula1>"National system,Cross-sector,Sector or domain,Technical working group,Bilateral,Regional or local,Informal"</x:formula1>
    </x:dataValidation>
    <x:dataValidation type="list" sqref="I6:I30">
      <x:formula1>"Monthly,Quarterly,Semi-annual,Annual,Ad hoc,Inactive"</x:formula1>
    </x:dataValidation>
    <x:dataValidation type="list" sqref="K6:K30">
      <x:formula1>"Effective,Partly effective,Ineffective,Not assessed"</x:formula1>
    </x:dataValidation>
  </x:dataValidations>
  <x:pageMargins left="0.7" right="0.7" top="0.75" bottom="0.75" header="0.3" footer="0.3"/>
</x:worksheet>
</file>

<file path=xl/worksheets/sheet7.xml><?xml version="1.0" encoding="utf-8"?>
<x:worksheet xmlns:x="http://schemas.openxmlformats.org/spreadsheetml/2006/main">
  <x:sheetPr>
    <x:tabColor rgb="FFC99A00"/>
  </x:sheetPr>
  <x:sheetViews>
    <x:sheetView showGridLines="0" workbookViewId="0">
      <x:pane xSplit="2" ySplit="5" topLeftCell="C6" activePane="bottomRight" state="frozen"/>
    </x:sheetView>
  </x:sheetViews>
  <x:sheetFormatPr defaultRowHeight="15"/>
  <x:cols>
    <x:col min="1" max="1" width="13" hidden="0" customWidth="1"/>
    <x:col min="2" max="2" width="24" hidden="0" customWidth="1"/>
    <x:col min="3" max="3" width="38" hidden="0" customWidth="1"/>
    <x:col min="4" max="4" width="34" hidden="0" customWidth="1"/>
    <x:col min="5" max="5" width="16" hidden="0" customWidth="1"/>
    <x:col min="6" max="6" width="14" hidden="0" customWidth="1"/>
    <x:col min="7" max="7" width="13" hidden="0" customWidth="1"/>
    <x:col min="8" max="8" width="16" hidden="0" customWidth="1"/>
    <x:col min="9" max="9" width="40" hidden="0" customWidth="1"/>
    <x:col min="10" max="10" width="20" hidden="0" customWidth="1"/>
    <x:col min="11" max="11" width="14" hidden="0" customWidth="1"/>
    <x:col min="12" max="12" width="17" hidden="0" customWidth="1"/>
    <x:col min="13" max="13" width="28" hidden="0" customWidth="1"/>
    <x:col min="14" max="14" width="32" hidden="0" customWidth="1"/>
    <x:col min="15" max="15" width="16"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Risks and Actions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Prioritize ecosystem risks and convert them into owned, time-bound actions with completion evidence.</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Risk ID</x:v>
      </x:c>
      <x:c r="B5" s="8" t="str">
        <x:v>Risk category</x:v>
      </x:c>
      <x:c r="C5" s="8" t="str">
        <x:v>Risk description</x:v>
      </x:c>
      <x:c r="D5" s="8" t="str">
        <x:v>Affected institutions, assets or flows</x:v>
      </x:c>
      <x:c r="E5" s="8" t="str">
        <x:v>Likelihood 1 to 5</x:v>
      </x:c>
      <x:c r="F5" s="8" t="str">
        <x:v>Impact 1 to 5</x:v>
      </x:c>
      <x:c r="G5" s="8" t="str">
        <x:v>Risk score</x:v>
      </x:c>
      <x:c r="H5" s="8" t="str">
        <x:v>Risk rating</x:v>
      </x:c>
      <x:c r="I5" s="8" t="str">
        <x:v>Mitigation or action</x:v>
      </x:c>
      <x:c r="J5" s="8" t="str">
        <x:v>Owner</x:v>
      </x:c>
      <x:c r="K5" s="8" t="str">
        <x:v>Due date</x:v>
      </x:c>
      <x:c r="L5" s="8" t="str">
        <x:v>Status</x:v>
      </x:c>
      <x:c r="M5" s="8" t="str">
        <x:v>Required resources</x:v>
      </x:c>
      <x:c r="N5" s="8" t="str">
        <x:v>Completion evidence</x:v>
      </x:c>
      <x:c r="O5" s="8" t="str">
        <x:v>Residual risk</x:v>
      </x:c>
      <x:c r="P5" s="2"/>
      <x:c r="Q5" s="2"/>
      <x:c r="R5" s="2"/>
      <x:c r="S5" s="2"/>
      <x:c r="T5" s="2"/>
      <x:c r="U5" s="2"/>
      <x:c r="V5" s="2"/>
      <x:c r="W5" s="2"/>
      <x:c r="X5" s="2"/>
      <x:c r="Y5" s="2"/>
      <x:c r="Z5" s="2"/>
    </x:row>
    <x:row r="6" ht="40" customHeight="1">
      <x:c r="A6" s="10" t="str"/>
      <x:c r="B6" s="10" t="str"/>
      <x:c r="C6" s="10" t="str"/>
      <x:c r="D6" s="10" t="str"/>
      <x:c r="E6" s="10" t="str"/>
      <x:c r="F6" s="10" t="str"/>
      <x:c r="G6" s="12" t="str">
        <x:f>IF(OR(E6="",F6=""),"",E6*F6)</x:f>
      </x:c>
      <x:c r="H6" s="12" t="str">
        <x:f>IF(G6="","",IF(G6&gt;=17,"Critical",IF(G6&gt;=10,"High",IF(G6&gt;=5,"Medium","Low"))))</x:f>
      </x:c>
      <x:c r="I6" s="10" t="str"/>
      <x:c r="J6" s="10" t="str"/>
      <x:c r="K6" s="14" t="str"/>
      <x:c r="L6" s="10" t="str"/>
      <x:c r="M6" s="10" t="str"/>
      <x:c r="N6" s="10" t="str"/>
      <x:c r="O6" s="10" t="str"/>
      <x:c r="P6" s="2"/>
      <x:c r="Q6" s="2"/>
      <x:c r="R6" s="2"/>
      <x:c r="S6" s="2"/>
      <x:c r="T6" s="2"/>
      <x:c r="U6" s="2"/>
      <x:c r="V6" s="2"/>
      <x:c r="W6" s="2"/>
      <x:c r="X6" s="2"/>
      <x:c r="Y6" s="2"/>
      <x:c r="Z6" s="2"/>
    </x:row>
    <x:row r="7" ht="40" customHeight="1">
      <x:c r="A7" s="10" t="str"/>
      <x:c r="B7" s="10" t="str"/>
      <x:c r="C7" s="10" t="str"/>
      <x:c r="D7" s="10" t="str"/>
      <x:c r="E7" s="10" t="str"/>
      <x:c r="F7" s="10" t="str"/>
      <x:c r="G7" s="12" t="str">
        <x:f>IF(OR(E7="",F7=""),"",E7*F7)</x:f>
      </x:c>
      <x:c r="H7" s="12" t="str">
        <x:f>IF(G7="","",IF(G7&gt;=17,"Critical",IF(G7&gt;=10,"High",IF(G7&gt;=5,"Medium","Low"))))</x:f>
      </x:c>
      <x:c r="I7" s="10" t="str"/>
      <x:c r="J7" s="10" t="str"/>
      <x:c r="K7" s="14" t="str"/>
      <x:c r="L7" s="10" t="str"/>
      <x:c r="M7" s="10" t="str"/>
      <x:c r="N7" s="10" t="str"/>
      <x:c r="O7" s="10" t="str"/>
      <x:c r="P7" s="2"/>
      <x:c r="Q7" s="2"/>
      <x:c r="R7" s="2"/>
      <x:c r="S7" s="2"/>
      <x:c r="T7" s="2"/>
      <x:c r="U7" s="2"/>
      <x:c r="V7" s="2"/>
      <x:c r="W7" s="2"/>
      <x:c r="X7" s="2"/>
      <x:c r="Y7" s="2"/>
      <x:c r="Z7" s="2"/>
    </x:row>
    <x:row r="8" ht="40" customHeight="1">
      <x:c r="A8" s="10" t="str"/>
      <x:c r="B8" s="10" t="str"/>
      <x:c r="C8" s="10" t="str"/>
      <x:c r="D8" s="10" t="str"/>
      <x:c r="E8" s="10" t="str"/>
      <x:c r="F8" s="10" t="str"/>
      <x:c r="G8" s="12" t="str">
        <x:f>IF(OR(E8="",F8=""),"",E8*F8)</x:f>
      </x:c>
      <x:c r="H8" s="12" t="str">
        <x:f>IF(G8="","",IF(G8&gt;=17,"Critical",IF(G8&gt;=10,"High",IF(G8&gt;=5,"Medium","Low"))))</x:f>
      </x:c>
      <x:c r="I8" s="10" t="str"/>
      <x:c r="J8" s="10" t="str"/>
      <x:c r="K8" s="14" t="str"/>
      <x:c r="L8" s="10" t="str"/>
      <x:c r="M8" s="10" t="str"/>
      <x:c r="N8" s="10" t="str"/>
      <x:c r="O8" s="10" t="str"/>
      <x:c r="P8" s="2"/>
      <x:c r="Q8" s="2"/>
      <x:c r="R8" s="2"/>
      <x:c r="S8" s="2"/>
      <x:c r="T8" s="2"/>
      <x:c r="U8" s="2"/>
      <x:c r="V8" s="2"/>
      <x:c r="W8" s="2"/>
      <x:c r="X8" s="2"/>
      <x:c r="Y8" s="2"/>
      <x:c r="Z8" s="2"/>
    </x:row>
    <x:row r="9" ht="40" customHeight="1">
      <x:c r="A9" s="10" t="str"/>
      <x:c r="B9" s="10" t="str"/>
      <x:c r="C9" s="10" t="str"/>
      <x:c r="D9" s="10" t="str"/>
      <x:c r="E9" s="10" t="str"/>
      <x:c r="F9" s="10" t="str"/>
      <x:c r="G9" s="12" t="str">
        <x:f>IF(OR(E9="",F9=""),"",E9*F9)</x:f>
      </x:c>
      <x:c r="H9" s="12" t="str">
        <x:f>IF(G9="","",IF(G9&gt;=17,"Critical",IF(G9&gt;=10,"High",IF(G9&gt;=5,"Medium","Low"))))</x:f>
      </x:c>
      <x:c r="I9" s="10" t="str"/>
      <x:c r="J9" s="10" t="str"/>
      <x:c r="K9" s="14" t="str"/>
      <x:c r="L9" s="10" t="str"/>
      <x:c r="M9" s="10" t="str"/>
      <x:c r="N9" s="10" t="str"/>
      <x:c r="O9" s="10" t="str"/>
      <x:c r="P9" s="2"/>
      <x:c r="Q9" s="2"/>
      <x:c r="R9" s="2"/>
      <x:c r="S9" s="2"/>
      <x:c r="T9" s="2"/>
      <x:c r="U9" s="2"/>
      <x:c r="V9" s="2"/>
      <x:c r="W9" s="2"/>
      <x:c r="X9" s="2"/>
      <x:c r="Y9" s="2"/>
      <x:c r="Z9" s="2"/>
    </x:row>
    <x:row r="10" ht="40" customHeight="1">
      <x:c r="A10" s="10" t="str"/>
      <x:c r="B10" s="10" t="str"/>
      <x:c r="C10" s="10" t="str"/>
      <x:c r="D10" s="10" t="str"/>
      <x:c r="E10" s="10" t="str"/>
      <x:c r="F10" s="10" t="str"/>
      <x:c r="G10" s="12" t="str">
        <x:f>IF(OR(E10="",F10=""),"",E10*F10)</x:f>
      </x:c>
      <x:c r="H10" s="12" t="str">
        <x:f>IF(G10="","",IF(G10&gt;=17,"Critical",IF(G10&gt;=10,"High",IF(G10&gt;=5,"Medium","Low"))))</x:f>
      </x:c>
      <x:c r="I10" s="10" t="str"/>
      <x:c r="J10" s="10" t="str"/>
      <x:c r="K10" s="14" t="str"/>
      <x:c r="L10" s="10" t="str"/>
      <x:c r="M10" s="10" t="str"/>
      <x:c r="N10" s="10" t="str"/>
      <x:c r="O10" s="10" t="str"/>
      <x:c r="P10" s="2"/>
      <x:c r="Q10" s="2"/>
      <x:c r="R10" s="2"/>
      <x:c r="S10" s="2"/>
      <x:c r="T10" s="2"/>
      <x:c r="U10" s="2"/>
      <x:c r="V10" s="2"/>
      <x:c r="W10" s="2"/>
      <x:c r="X10" s="2"/>
      <x:c r="Y10" s="2"/>
      <x:c r="Z10" s="2"/>
    </x:row>
    <x:row r="11" ht="40" customHeight="1">
      <x:c r="A11" s="10" t="str"/>
      <x:c r="B11" s="10" t="str"/>
      <x:c r="C11" s="10" t="str"/>
      <x:c r="D11" s="10" t="str"/>
      <x:c r="E11" s="10" t="str"/>
      <x:c r="F11" s="10" t="str"/>
      <x:c r="G11" s="12" t="str">
        <x:f>IF(OR(E11="",F11=""),"",E11*F11)</x:f>
      </x:c>
      <x:c r="H11" s="12" t="str">
        <x:f>IF(G11="","",IF(G11&gt;=17,"Critical",IF(G11&gt;=10,"High",IF(G11&gt;=5,"Medium","Low"))))</x:f>
      </x:c>
      <x:c r="I11" s="10" t="str"/>
      <x:c r="J11" s="10" t="str"/>
      <x:c r="K11" s="14" t="str"/>
      <x:c r="L11" s="10" t="str"/>
      <x:c r="M11" s="10" t="str"/>
      <x:c r="N11" s="10" t="str"/>
      <x:c r="O11" s="10" t="str"/>
      <x:c r="P11" s="2"/>
      <x:c r="Q11" s="2"/>
      <x:c r="R11" s="2"/>
      <x:c r="S11" s="2"/>
      <x:c r="T11" s="2"/>
      <x:c r="U11" s="2"/>
      <x:c r="V11" s="2"/>
      <x:c r="W11" s="2"/>
      <x:c r="X11" s="2"/>
      <x:c r="Y11" s="2"/>
      <x:c r="Z11" s="2"/>
    </x:row>
    <x:row r="12" ht="40" customHeight="1">
      <x:c r="A12" s="10" t="str"/>
      <x:c r="B12" s="10" t="str"/>
      <x:c r="C12" s="10" t="str"/>
      <x:c r="D12" s="10" t="str"/>
      <x:c r="E12" s="10" t="str"/>
      <x:c r="F12" s="10" t="str"/>
      <x:c r="G12" s="12" t="str">
        <x:f>IF(OR(E12="",F12=""),"",E12*F12)</x:f>
      </x:c>
      <x:c r="H12" s="12" t="str">
        <x:f>IF(G12="","",IF(G12&gt;=17,"Critical",IF(G12&gt;=10,"High",IF(G12&gt;=5,"Medium","Low"))))</x:f>
      </x:c>
      <x:c r="I12" s="10" t="str"/>
      <x:c r="J12" s="10" t="str"/>
      <x:c r="K12" s="14" t="str"/>
      <x:c r="L12" s="10" t="str"/>
      <x:c r="M12" s="10" t="str"/>
      <x:c r="N12" s="10" t="str"/>
      <x:c r="O12" s="10" t="str"/>
      <x:c r="P12" s="2"/>
      <x:c r="Q12" s="2"/>
      <x:c r="R12" s="2"/>
      <x:c r="S12" s="2"/>
      <x:c r="T12" s="2"/>
      <x:c r="U12" s="2"/>
      <x:c r="V12" s="2"/>
      <x:c r="W12" s="2"/>
      <x:c r="X12" s="2"/>
      <x:c r="Y12" s="2"/>
      <x:c r="Z12" s="2"/>
    </x:row>
    <x:row r="13" ht="40" customHeight="1">
      <x:c r="A13" s="10" t="str"/>
      <x:c r="B13" s="10" t="str"/>
      <x:c r="C13" s="10" t="str"/>
      <x:c r="D13" s="10" t="str"/>
      <x:c r="E13" s="10" t="str"/>
      <x:c r="F13" s="10" t="str"/>
      <x:c r="G13" s="12" t="str">
        <x:f>IF(OR(E13="",F13=""),"",E13*F13)</x:f>
      </x:c>
      <x:c r="H13" s="12" t="str">
        <x:f>IF(G13="","",IF(G13&gt;=17,"Critical",IF(G13&gt;=10,"High",IF(G13&gt;=5,"Medium","Low"))))</x:f>
      </x:c>
      <x:c r="I13" s="10" t="str"/>
      <x:c r="J13" s="10" t="str"/>
      <x:c r="K13" s="14" t="str"/>
      <x:c r="L13" s="10" t="str"/>
      <x:c r="M13" s="10" t="str"/>
      <x:c r="N13" s="10" t="str"/>
      <x:c r="O13" s="10" t="str"/>
      <x:c r="P13" s="2"/>
      <x:c r="Q13" s="2"/>
      <x:c r="R13" s="2"/>
      <x:c r="S13" s="2"/>
      <x:c r="T13" s="2"/>
      <x:c r="U13" s="2"/>
      <x:c r="V13" s="2"/>
      <x:c r="W13" s="2"/>
      <x:c r="X13" s="2"/>
      <x:c r="Y13" s="2"/>
      <x:c r="Z13" s="2"/>
    </x:row>
    <x:row r="14" ht="40" customHeight="1">
      <x:c r="A14" s="10" t="str"/>
      <x:c r="B14" s="10" t="str"/>
      <x:c r="C14" s="10" t="str"/>
      <x:c r="D14" s="10" t="str"/>
      <x:c r="E14" s="10" t="str"/>
      <x:c r="F14" s="10" t="str"/>
      <x:c r="G14" s="12" t="str">
        <x:f>IF(OR(E14="",F14=""),"",E14*F14)</x:f>
      </x:c>
      <x:c r="H14" s="12" t="str">
        <x:f>IF(G14="","",IF(G14&gt;=17,"Critical",IF(G14&gt;=10,"High",IF(G14&gt;=5,"Medium","Low"))))</x:f>
      </x:c>
      <x:c r="I14" s="10" t="str"/>
      <x:c r="J14" s="10" t="str"/>
      <x:c r="K14" s="14" t="str"/>
      <x:c r="L14" s="10" t="str"/>
      <x:c r="M14" s="10" t="str"/>
      <x:c r="N14" s="10" t="str"/>
      <x:c r="O14" s="10" t="str"/>
      <x:c r="P14" s="2"/>
      <x:c r="Q14" s="2"/>
      <x:c r="R14" s="2"/>
      <x:c r="S14" s="2"/>
      <x:c r="T14" s="2"/>
      <x:c r="U14" s="2"/>
      <x:c r="V14" s="2"/>
      <x:c r="W14" s="2"/>
      <x:c r="X14" s="2"/>
      <x:c r="Y14" s="2"/>
      <x:c r="Z14" s="2"/>
    </x:row>
    <x:row r="15" ht="40" customHeight="1">
      <x:c r="A15" s="10" t="str"/>
      <x:c r="B15" s="10" t="str"/>
      <x:c r="C15" s="10" t="str"/>
      <x:c r="D15" s="10" t="str"/>
      <x:c r="E15" s="10" t="str"/>
      <x:c r="F15" s="10" t="str"/>
      <x:c r="G15" s="12" t="str">
        <x:f>IF(OR(E15="",F15=""),"",E15*F15)</x:f>
      </x:c>
      <x:c r="H15" s="12" t="str">
        <x:f>IF(G15="","",IF(G15&gt;=17,"Critical",IF(G15&gt;=10,"High",IF(G15&gt;=5,"Medium","Low"))))</x:f>
      </x:c>
      <x:c r="I15" s="10" t="str"/>
      <x:c r="J15" s="10" t="str"/>
      <x:c r="K15" s="14" t="str"/>
      <x:c r="L15" s="10" t="str"/>
      <x:c r="M15" s="10" t="str"/>
      <x:c r="N15" s="10" t="str"/>
      <x:c r="O15" s="10" t="str"/>
      <x:c r="P15" s="2"/>
      <x:c r="Q15" s="2"/>
      <x:c r="R15" s="2"/>
      <x:c r="S15" s="2"/>
      <x:c r="T15" s="2"/>
      <x:c r="U15" s="2"/>
      <x:c r="V15" s="2"/>
      <x:c r="W15" s="2"/>
      <x:c r="X15" s="2"/>
      <x:c r="Y15" s="2"/>
      <x:c r="Z15" s="2"/>
    </x:row>
    <x:row r="16" ht="40" customHeight="1">
      <x:c r="A16" s="10" t="str"/>
      <x:c r="B16" s="10" t="str"/>
      <x:c r="C16" s="10" t="str"/>
      <x:c r="D16" s="10" t="str"/>
      <x:c r="E16" s="10" t="str"/>
      <x:c r="F16" s="10" t="str"/>
      <x:c r="G16" s="12" t="str">
        <x:f>IF(OR(E16="",F16=""),"",E16*F16)</x:f>
      </x:c>
      <x:c r="H16" s="12" t="str">
        <x:f>IF(G16="","",IF(G16&gt;=17,"Critical",IF(G16&gt;=10,"High",IF(G16&gt;=5,"Medium","Low"))))</x:f>
      </x:c>
      <x:c r="I16" s="10" t="str"/>
      <x:c r="J16" s="10" t="str"/>
      <x:c r="K16" s="14" t="str"/>
      <x:c r="L16" s="10" t="str"/>
      <x:c r="M16" s="10" t="str"/>
      <x:c r="N16" s="10" t="str"/>
      <x:c r="O16" s="10" t="str"/>
      <x:c r="P16" s="2"/>
      <x:c r="Q16" s="2"/>
      <x:c r="R16" s="2"/>
      <x:c r="S16" s="2"/>
      <x:c r="T16" s="2"/>
      <x:c r="U16" s="2"/>
      <x:c r="V16" s="2"/>
      <x:c r="W16" s="2"/>
      <x:c r="X16" s="2"/>
      <x:c r="Y16" s="2"/>
      <x:c r="Z16" s="2"/>
    </x:row>
    <x:row r="17" ht="40" customHeight="1">
      <x:c r="A17" s="10" t="str"/>
      <x:c r="B17" s="10" t="str"/>
      <x:c r="C17" s="10" t="str"/>
      <x:c r="D17" s="10" t="str"/>
      <x:c r="E17" s="10" t="str"/>
      <x:c r="F17" s="10" t="str"/>
      <x:c r="G17" s="12" t="str">
        <x:f>IF(OR(E17="",F17=""),"",E17*F17)</x:f>
      </x:c>
      <x:c r="H17" s="12" t="str">
        <x:f>IF(G17="","",IF(G17&gt;=17,"Critical",IF(G17&gt;=10,"High",IF(G17&gt;=5,"Medium","Low"))))</x:f>
      </x:c>
      <x:c r="I17" s="10" t="str"/>
      <x:c r="J17" s="10" t="str"/>
      <x:c r="K17" s="14" t="str"/>
      <x:c r="L17" s="10" t="str"/>
      <x:c r="M17" s="10" t="str"/>
      <x:c r="N17" s="10" t="str"/>
      <x:c r="O17" s="10" t="str"/>
      <x:c r="P17" s="2"/>
      <x:c r="Q17" s="2"/>
      <x:c r="R17" s="2"/>
      <x:c r="S17" s="2"/>
      <x:c r="T17" s="2"/>
      <x:c r="U17" s="2"/>
      <x:c r="V17" s="2"/>
      <x:c r="W17" s="2"/>
      <x:c r="X17" s="2"/>
      <x:c r="Y17" s="2"/>
      <x:c r="Z17" s="2"/>
    </x:row>
    <x:row r="18" ht="40" customHeight="1">
      <x:c r="A18" s="10" t="str"/>
      <x:c r="B18" s="10" t="str"/>
      <x:c r="C18" s="10" t="str"/>
      <x:c r="D18" s="10" t="str"/>
      <x:c r="E18" s="10" t="str"/>
      <x:c r="F18" s="10" t="str"/>
      <x:c r="G18" s="12" t="str">
        <x:f>IF(OR(E18="",F18=""),"",E18*F18)</x:f>
      </x:c>
      <x:c r="H18" s="12" t="str">
        <x:f>IF(G18="","",IF(G18&gt;=17,"Critical",IF(G18&gt;=10,"High",IF(G18&gt;=5,"Medium","Low"))))</x:f>
      </x:c>
      <x:c r="I18" s="10" t="str"/>
      <x:c r="J18" s="10" t="str"/>
      <x:c r="K18" s="14" t="str"/>
      <x:c r="L18" s="10" t="str"/>
      <x:c r="M18" s="10" t="str"/>
      <x:c r="N18" s="10" t="str"/>
      <x:c r="O18" s="10" t="str"/>
      <x:c r="P18" s="2"/>
      <x:c r="Q18" s="2"/>
      <x:c r="R18" s="2"/>
      <x:c r="S18" s="2"/>
      <x:c r="T18" s="2"/>
      <x:c r="U18" s="2"/>
      <x:c r="V18" s="2"/>
      <x:c r="W18" s="2"/>
      <x:c r="X18" s="2"/>
      <x:c r="Y18" s="2"/>
      <x:c r="Z18" s="2"/>
    </x:row>
    <x:row r="19" ht="40" customHeight="1">
      <x:c r="A19" s="10" t="str"/>
      <x:c r="B19" s="10" t="str"/>
      <x:c r="C19" s="10" t="str"/>
      <x:c r="D19" s="10" t="str"/>
      <x:c r="E19" s="10" t="str"/>
      <x:c r="F19" s="10" t="str"/>
      <x:c r="G19" s="12" t="str">
        <x:f>IF(OR(E19="",F19=""),"",E19*F19)</x:f>
      </x:c>
      <x:c r="H19" s="12" t="str">
        <x:f>IF(G19="","",IF(G19&gt;=17,"Critical",IF(G19&gt;=10,"High",IF(G19&gt;=5,"Medium","Low"))))</x:f>
      </x:c>
      <x:c r="I19" s="10" t="str"/>
      <x:c r="J19" s="10" t="str"/>
      <x:c r="K19" s="14" t="str"/>
      <x:c r="L19" s="10" t="str"/>
      <x:c r="M19" s="10" t="str"/>
      <x:c r="N19" s="10" t="str"/>
      <x:c r="O19" s="10" t="str"/>
      <x:c r="P19" s="2"/>
      <x:c r="Q19" s="2"/>
      <x:c r="R19" s="2"/>
      <x:c r="S19" s="2"/>
      <x:c r="T19" s="2"/>
      <x:c r="U19" s="2"/>
      <x:c r="V19" s="2"/>
      <x:c r="W19" s="2"/>
      <x:c r="X19" s="2"/>
      <x:c r="Y19" s="2"/>
      <x:c r="Z19" s="2"/>
    </x:row>
    <x:row r="20" ht="40" customHeight="1">
      <x:c r="A20" s="10" t="str"/>
      <x:c r="B20" s="10" t="str"/>
      <x:c r="C20" s="10" t="str"/>
      <x:c r="D20" s="10" t="str"/>
      <x:c r="E20" s="10" t="str"/>
      <x:c r="F20" s="10" t="str"/>
      <x:c r="G20" s="12" t="str">
        <x:f>IF(OR(E20="",F20=""),"",E20*F20)</x:f>
      </x:c>
      <x:c r="H20" s="12" t="str">
        <x:f>IF(G20="","",IF(G20&gt;=17,"Critical",IF(G20&gt;=10,"High",IF(G20&gt;=5,"Medium","Low"))))</x:f>
      </x:c>
      <x:c r="I20" s="10" t="str"/>
      <x:c r="J20" s="10" t="str"/>
      <x:c r="K20" s="14" t="str"/>
      <x:c r="L20" s="10" t="str"/>
      <x:c r="M20" s="10" t="str"/>
      <x:c r="N20" s="10" t="str"/>
      <x:c r="O20" s="10" t="str"/>
      <x:c r="P20" s="2"/>
      <x:c r="Q20" s="2"/>
      <x:c r="R20" s="2"/>
      <x:c r="S20" s="2"/>
      <x:c r="T20" s="2"/>
      <x:c r="U20" s="2"/>
      <x:c r="V20" s="2"/>
      <x:c r="W20" s="2"/>
      <x:c r="X20" s="2"/>
      <x:c r="Y20" s="2"/>
      <x:c r="Z20" s="2"/>
    </x:row>
    <x:row r="21" ht="40" customHeight="1">
      <x:c r="A21" s="10" t="str"/>
      <x:c r="B21" s="10" t="str"/>
      <x:c r="C21" s="10" t="str"/>
      <x:c r="D21" s="10" t="str"/>
      <x:c r="E21" s="10" t="str"/>
      <x:c r="F21" s="10" t="str"/>
      <x:c r="G21" s="12" t="str">
        <x:f>IF(OR(E21="",F21=""),"",E21*F21)</x:f>
      </x:c>
      <x:c r="H21" s="12" t="str">
        <x:f>IF(G21="","",IF(G21&gt;=17,"Critical",IF(G21&gt;=10,"High",IF(G21&gt;=5,"Medium","Low"))))</x:f>
      </x:c>
      <x:c r="I21" s="10" t="str"/>
      <x:c r="J21" s="10" t="str"/>
      <x:c r="K21" s="14" t="str"/>
      <x:c r="L21" s="10" t="str"/>
      <x:c r="M21" s="10" t="str"/>
      <x:c r="N21" s="10" t="str"/>
      <x:c r="O21" s="10" t="str"/>
      <x:c r="P21" s="2"/>
      <x:c r="Q21" s="2"/>
      <x:c r="R21" s="2"/>
      <x:c r="S21" s="2"/>
      <x:c r="T21" s="2"/>
      <x:c r="U21" s="2"/>
      <x:c r="V21" s="2"/>
      <x:c r="W21" s="2"/>
      <x:c r="X21" s="2"/>
      <x:c r="Y21" s="2"/>
      <x:c r="Z21" s="2"/>
    </x:row>
    <x:row r="22" ht="40" customHeight="1">
      <x:c r="A22" s="10" t="str"/>
      <x:c r="B22" s="10" t="str"/>
      <x:c r="C22" s="10" t="str"/>
      <x:c r="D22" s="10" t="str"/>
      <x:c r="E22" s="10" t="str"/>
      <x:c r="F22" s="10" t="str"/>
      <x:c r="G22" s="12" t="str">
        <x:f>IF(OR(E22="",F22=""),"",E22*F22)</x:f>
      </x:c>
      <x:c r="H22" s="12" t="str">
        <x:f>IF(G22="","",IF(G22&gt;=17,"Critical",IF(G22&gt;=10,"High",IF(G22&gt;=5,"Medium","Low"))))</x:f>
      </x:c>
      <x:c r="I22" s="10" t="str"/>
      <x:c r="J22" s="10" t="str"/>
      <x:c r="K22" s="14" t="str"/>
      <x:c r="L22" s="10" t="str"/>
      <x:c r="M22" s="10" t="str"/>
      <x:c r="N22" s="10" t="str"/>
      <x:c r="O22" s="10" t="str"/>
      <x:c r="P22" s="2"/>
      <x:c r="Q22" s="2"/>
      <x:c r="R22" s="2"/>
      <x:c r="S22" s="2"/>
      <x:c r="T22" s="2"/>
      <x:c r="U22" s="2"/>
      <x:c r="V22" s="2"/>
      <x:c r="W22" s="2"/>
      <x:c r="X22" s="2"/>
      <x:c r="Y22" s="2"/>
      <x:c r="Z22" s="2"/>
    </x:row>
    <x:row r="23" ht="40" customHeight="1">
      <x:c r="A23" s="10" t="str"/>
      <x:c r="B23" s="10" t="str"/>
      <x:c r="C23" s="10" t="str"/>
      <x:c r="D23" s="10" t="str"/>
      <x:c r="E23" s="10" t="str"/>
      <x:c r="F23" s="10" t="str"/>
      <x:c r="G23" s="12" t="str">
        <x:f>IF(OR(E23="",F23=""),"",E23*F23)</x:f>
      </x:c>
      <x:c r="H23" s="12" t="str">
        <x:f>IF(G23="","",IF(G23&gt;=17,"Critical",IF(G23&gt;=10,"High",IF(G23&gt;=5,"Medium","Low"))))</x:f>
      </x:c>
      <x:c r="I23" s="10" t="str"/>
      <x:c r="J23" s="10" t="str"/>
      <x:c r="K23" s="14" t="str"/>
      <x:c r="L23" s="10" t="str"/>
      <x:c r="M23" s="10" t="str"/>
      <x:c r="N23" s="10" t="str"/>
      <x:c r="O23" s="10" t="str"/>
      <x:c r="P23" s="2"/>
      <x:c r="Q23" s="2"/>
      <x:c r="R23" s="2"/>
      <x:c r="S23" s="2"/>
      <x:c r="T23" s="2"/>
      <x:c r="U23" s="2"/>
      <x:c r="V23" s="2"/>
      <x:c r="W23" s="2"/>
      <x:c r="X23" s="2"/>
      <x:c r="Y23" s="2"/>
      <x:c r="Z23" s="2"/>
    </x:row>
    <x:row r="24" ht="40" customHeight="1">
      <x:c r="A24" s="10" t="str"/>
      <x:c r="B24" s="10" t="str"/>
      <x:c r="C24" s="10" t="str"/>
      <x:c r="D24" s="10" t="str"/>
      <x:c r="E24" s="10" t="str"/>
      <x:c r="F24" s="10" t="str"/>
      <x:c r="G24" s="12" t="str">
        <x:f>IF(OR(E24="",F24=""),"",E24*F24)</x:f>
      </x:c>
      <x:c r="H24" s="12" t="str">
        <x:f>IF(G24="","",IF(G24&gt;=17,"Critical",IF(G24&gt;=10,"High",IF(G24&gt;=5,"Medium","Low"))))</x:f>
      </x:c>
      <x:c r="I24" s="10" t="str"/>
      <x:c r="J24" s="10" t="str"/>
      <x:c r="K24" s="14" t="str"/>
      <x:c r="L24" s="10" t="str"/>
      <x:c r="M24" s="10" t="str"/>
      <x:c r="N24" s="10" t="str"/>
      <x:c r="O24" s="10" t="str"/>
      <x:c r="P24" s="2"/>
      <x:c r="Q24" s="2"/>
      <x:c r="R24" s="2"/>
      <x:c r="S24" s="2"/>
      <x:c r="T24" s="2"/>
      <x:c r="U24" s="2"/>
      <x:c r="V24" s="2"/>
      <x:c r="W24" s="2"/>
      <x:c r="X24" s="2"/>
      <x:c r="Y24" s="2"/>
      <x:c r="Z24" s="2"/>
    </x:row>
    <x:row r="25" ht="40" customHeight="1">
      <x:c r="A25" s="10" t="str"/>
      <x:c r="B25" s="10" t="str"/>
      <x:c r="C25" s="10" t="str"/>
      <x:c r="D25" s="10" t="str"/>
      <x:c r="E25" s="10" t="str"/>
      <x:c r="F25" s="10" t="str"/>
      <x:c r="G25" s="12" t="str">
        <x:f>IF(OR(E25="",F25=""),"",E25*F25)</x:f>
      </x:c>
      <x:c r="H25" s="12" t="str">
        <x:f>IF(G25="","",IF(G25&gt;=17,"Critical",IF(G25&gt;=10,"High",IF(G25&gt;=5,"Medium","Low"))))</x:f>
      </x:c>
      <x:c r="I25" s="10" t="str"/>
      <x:c r="J25" s="10" t="str"/>
      <x:c r="K25" s="14" t="str"/>
      <x:c r="L25" s="10" t="str"/>
      <x:c r="M25" s="10" t="str"/>
      <x:c r="N25" s="10" t="str"/>
      <x:c r="O25" s="10" t="str"/>
      <x:c r="P25" s="2"/>
      <x:c r="Q25" s="2"/>
      <x:c r="R25" s="2"/>
      <x:c r="S25" s="2"/>
      <x:c r="T25" s="2"/>
      <x:c r="U25" s="2"/>
      <x:c r="V25" s="2"/>
      <x:c r="W25" s="2"/>
      <x:c r="X25" s="2"/>
      <x:c r="Y25" s="2"/>
      <x:c r="Z25" s="2"/>
    </x:row>
    <x:row r="26" ht="40" customHeight="1">
      <x:c r="A26" s="10" t="str"/>
      <x:c r="B26" s="10" t="str"/>
      <x:c r="C26" s="10" t="str"/>
      <x:c r="D26" s="10" t="str"/>
      <x:c r="E26" s="10" t="str"/>
      <x:c r="F26" s="10" t="str"/>
      <x:c r="G26" s="12" t="str">
        <x:f>IF(OR(E26="",F26=""),"",E26*F26)</x:f>
      </x:c>
      <x:c r="H26" s="12" t="str">
        <x:f>IF(G26="","",IF(G26&gt;=17,"Critical",IF(G26&gt;=10,"High",IF(G26&gt;=5,"Medium","Low"))))</x:f>
      </x:c>
      <x:c r="I26" s="10" t="str"/>
      <x:c r="J26" s="10" t="str"/>
      <x:c r="K26" s="14" t="str"/>
      <x:c r="L26" s="10" t="str"/>
      <x:c r="M26" s="10" t="str"/>
      <x:c r="N26" s="10" t="str"/>
      <x:c r="O26" s="10" t="str"/>
      <x:c r="P26" s="2"/>
      <x:c r="Q26" s="2"/>
      <x:c r="R26" s="2"/>
      <x:c r="S26" s="2"/>
      <x:c r="T26" s="2"/>
      <x:c r="U26" s="2"/>
      <x:c r="V26" s="2"/>
      <x:c r="W26" s="2"/>
      <x:c r="X26" s="2"/>
      <x:c r="Y26" s="2"/>
      <x:c r="Z26" s="2"/>
    </x:row>
    <x:row r="27" ht="40" customHeight="1">
      <x:c r="A27" s="10" t="str"/>
      <x:c r="B27" s="10" t="str"/>
      <x:c r="C27" s="10" t="str"/>
      <x:c r="D27" s="10" t="str"/>
      <x:c r="E27" s="10" t="str"/>
      <x:c r="F27" s="10" t="str"/>
      <x:c r="G27" s="12" t="str">
        <x:f>IF(OR(E27="",F27=""),"",E27*F27)</x:f>
      </x:c>
      <x:c r="H27" s="12" t="str">
        <x:f>IF(G27="","",IF(G27&gt;=17,"Critical",IF(G27&gt;=10,"High",IF(G27&gt;=5,"Medium","Low"))))</x:f>
      </x:c>
      <x:c r="I27" s="10" t="str"/>
      <x:c r="J27" s="10" t="str"/>
      <x:c r="K27" s="14" t="str"/>
      <x:c r="L27" s="10" t="str"/>
      <x:c r="M27" s="10" t="str"/>
      <x:c r="N27" s="10" t="str"/>
      <x:c r="O27" s="10" t="str"/>
      <x:c r="P27" s="2"/>
      <x:c r="Q27" s="2"/>
      <x:c r="R27" s="2"/>
      <x:c r="S27" s="2"/>
      <x:c r="T27" s="2"/>
      <x:c r="U27" s="2"/>
      <x:c r="V27" s="2"/>
      <x:c r="W27" s="2"/>
      <x:c r="X27" s="2"/>
      <x:c r="Y27" s="2"/>
      <x:c r="Z27" s="2"/>
    </x:row>
    <x:row r="28" ht="40" customHeight="1">
      <x:c r="A28" s="10" t="str"/>
      <x:c r="B28" s="10" t="str"/>
      <x:c r="C28" s="10" t="str"/>
      <x:c r="D28" s="10" t="str"/>
      <x:c r="E28" s="10" t="str"/>
      <x:c r="F28" s="10" t="str"/>
      <x:c r="G28" s="12" t="str">
        <x:f>IF(OR(E28="",F28=""),"",E28*F28)</x:f>
      </x:c>
      <x:c r="H28" s="12" t="str">
        <x:f>IF(G28="","",IF(G28&gt;=17,"Critical",IF(G28&gt;=10,"High",IF(G28&gt;=5,"Medium","Low"))))</x:f>
      </x:c>
      <x:c r="I28" s="10" t="str"/>
      <x:c r="J28" s="10" t="str"/>
      <x:c r="K28" s="14" t="str"/>
      <x:c r="L28" s="10" t="str"/>
      <x:c r="M28" s="10" t="str"/>
      <x:c r="N28" s="10" t="str"/>
      <x:c r="O28" s="10" t="str"/>
      <x:c r="P28" s="2"/>
      <x:c r="Q28" s="2"/>
      <x:c r="R28" s="2"/>
      <x:c r="S28" s="2"/>
      <x:c r="T28" s="2"/>
      <x:c r="U28" s="2"/>
      <x:c r="V28" s="2"/>
      <x:c r="W28" s="2"/>
      <x:c r="X28" s="2"/>
      <x:c r="Y28" s="2"/>
      <x:c r="Z28" s="2"/>
    </x:row>
    <x:row r="29" ht="40" customHeight="1">
      <x:c r="A29" s="10" t="str"/>
      <x:c r="B29" s="10" t="str"/>
      <x:c r="C29" s="10" t="str"/>
      <x:c r="D29" s="10" t="str"/>
      <x:c r="E29" s="10" t="str"/>
      <x:c r="F29" s="10" t="str"/>
      <x:c r="G29" s="12" t="str">
        <x:f>IF(OR(E29="",F29=""),"",E29*F29)</x:f>
      </x:c>
      <x:c r="H29" s="12" t="str">
        <x:f>IF(G29="","",IF(G29&gt;=17,"Critical",IF(G29&gt;=10,"High",IF(G29&gt;=5,"Medium","Low"))))</x:f>
      </x:c>
      <x:c r="I29" s="10" t="str"/>
      <x:c r="J29" s="10" t="str"/>
      <x:c r="K29" s="14" t="str"/>
      <x:c r="L29" s="10" t="str"/>
      <x:c r="M29" s="10" t="str"/>
      <x:c r="N29" s="10" t="str"/>
      <x:c r="O29" s="10" t="str"/>
      <x:c r="P29" s="2"/>
      <x:c r="Q29" s="2"/>
      <x:c r="R29" s="2"/>
      <x:c r="S29" s="2"/>
      <x:c r="T29" s="2"/>
      <x:c r="U29" s="2"/>
      <x:c r="V29" s="2"/>
      <x:c r="W29" s="2"/>
      <x:c r="X29" s="2"/>
      <x:c r="Y29" s="2"/>
      <x:c r="Z29" s="2"/>
    </x:row>
    <x:row r="30" ht="40" customHeight="1">
      <x:c r="A30" s="10" t="str"/>
      <x:c r="B30" s="10" t="str"/>
      <x:c r="C30" s="10" t="str"/>
      <x:c r="D30" s="10" t="str"/>
      <x:c r="E30" s="10" t="str"/>
      <x:c r="F30" s="10" t="str"/>
      <x:c r="G30" s="12" t="str">
        <x:f>IF(OR(E30="",F30=""),"",E30*F30)</x:f>
      </x:c>
      <x:c r="H30" s="12" t="str">
        <x:f>IF(G30="","",IF(G30&gt;=17,"Critical",IF(G30&gt;=10,"High",IF(G30&gt;=5,"Medium","Low"))))</x:f>
      </x:c>
      <x:c r="I30" s="10" t="str"/>
      <x:c r="J30" s="10" t="str"/>
      <x:c r="K30" s="14" t="str"/>
      <x:c r="L30" s="10" t="str"/>
      <x:c r="M30" s="10" t="str"/>
      <x:c r="N30" s="10" t="str"/>
      <x:c r="O30" s="10" t="str"/>
      <x:c r="P30" s="2"/>
      <x:c r="Q30" s="2"/>
      <x:c r="R30" s="2"/>
      <x:c r="S30" s="2"/>
      <x:c r="T30" s="2"/>
      <x:c r="U30" s="2"/>
      <x:c r="V30" s="2"/>
      <x:c r="W30" s="2"/>
      <x:c r="X30" s="2"/>
      <x:c r="Y30" s="2"/>
      <x:c r="Z30" s="2"/>
    </x:row>
    <x:row r="31" ht="40" customHeight="1">
      <x:c r="A31" s="10" t="str"/>
      <x:c r="B31" s="10" t="str"/>
      <x:c r="C31" s="10" t="str"/>
      <x:c r="D31" s="10" t="str"/>
      <x:c r="E31" s="10" t="str"/>
      <x:c r="F31" s="10" t="str"/>
      <x:c r="G31" s="12" t="str">
        <x:f>IF(OR(E31="",F31=""),"",E31*F31)</x:f>
      </x:c>
      <x:c r="H31" s="12" t="str">
        <x:f>IF(G31="","",IF(G31&gt;=17,"Critical",IF(G31&gt;=10,"High",IF(G31&gt;=5,"Medium","Low"))))</x:f>
      </x:c>
      <x:c r="I31" s="10" t="str"/>
      <x:c r="J31" s="10" t="str"/>
      <x:c r="K31" s="14" t="str"/>
      <x:c r="L31" s="10" t="str"/>
      <x:c r="M31" s="10" t="str"/>
      <x:c r="N31" s="10" t="str"/>
      <x:c r="O31" s="10" t="str"/>
      <x:c r="P31" s="2"/>
      <x:c r="Q31" s="2"/>
      <x:c r="R31" s="2"/>
      <x:c r="S31" s="2"/>
      <x:c r="T31" s="2"/>
      <x:c r="U31" s="2"/>
      <x:c r="V31" s="2"/>
      <x:c r="W31" s="2"/>
      <x:c r="X31" s="2"/>
      <x:c r="Y31" s="2"/>
      <x:c r="Z31" s="2"/>
    </x:row>
    <x:row r="32" ht="40" customHeight="1">
      <x:c r="A32" s="10" t="str"/>
      <x:c r="B32" s="10" t="str"/>
      <x:c r="C32" s="10" t="str"/>
      <x:c r="D32" s="10" t="str"/>
      <x:c r="E32" s="10" t="str"/>
      <x:c r="F32" s="10" t="str"/>
      <x:c r="G32" s="12" t="str">
        <x:f>IF(OR(E32="",F32=""),"",E32*F32)</x:f>
      </x:c>
      <x:c r="H32" s="12" t="str">
        <x:f>IF(G32="","",IF(G32&gt;=17,"Critical",IF(G32&gt;=10,"High",IF(G32&gt;=5,"Medium","Low"))))</x:f>
      </x:c>
      <x:c r="I32" s="10" t="str"/>
      <x:c r="J32" s="10" t="str"/>
      <x:c r="K32" s="14" t="str"/>
      <x:c r="L32" s="10" t="str"/>
      <x:c r="M32" s="10" t="str"/>
      <x:c r="N32" s="10" t="str"/>
      <x:c r="O32" s="10" t="str"/>
      <x:c r="P32" s="2"/>
      <x:c r="Q32" s="2"/>
      <x:c r="R32" s="2"/>
      <x:c r="S32" s="2"/>
      <x:c r="T32" s="2"/>
      <x:c r="U32" s="2"/>
      <x:c r="V32" s="2"/>
      <x:c r="W32" s="2"/>
      <x:c r="X32" s="2"/>
      <x:c r="Y32" s="2"/>
      <x:c r="Z32" s="2"/>
    </x:row>
    <x:row r="33" ht="40" customHeight="1">
      <x:c r="A33" s="10" t="str"/>
      <x:c r="B33" s="10" t="str"/>
      <x:c r="C33" s="10" t="str"/>
      <x:c r="D33" s="10" t="str"/>
      <x:c r="E33" s="10" t="str"/>
      <x:c r="F33" s="10" t="str"/>
      <x:c r="G33" s="12" t="str">
        <x:f>IF(OR(E33="",F33=""),"",E33*F33)</x:f>
      </x:c>
      <x:c r="H33" s="12" t="str">
        <x:f>IF(G33="","",IF(G33&gt;=17,"Critical",IF(G33&gt;=10,"High",IF(G33&gt;=5,"Medium","Low"))))</x:f>
      </x:c>
      <x:c r="I33" s="10" t="str"/>
      <x:c r="J33" s="10" t="str"/>
      <x:c r="K33" s="14" t="str"/>
      <x:c r="L33" s="10" t="str"/>
      <x:c r="M33" s="10" t="str"/>
      <x:c r="N33" s="10" t="str"/>
      <x:c r="O33" s="10" t="str"/>
      <x:c r="P33" s="2"/>
      <x:c r="Q33" s="2"/>
      <x:c r="R33" s="2"/>
      <x:c r="S33" s="2"/>
      <x:c r="T33" s="2"/>
      <x:c r="U33" s="2"/>
      <x:c r="V33" s="2"/>
      <x:c r="W33" s="2"/>
      <x:c r="X33" s="2"/>
      <x:c r="Y33" s="2"/>
      <x:c r="Z33" s="2"/>
    </x:row>
    <x:row r="34" ht="40" customHeight="1">
      <x:c r="A34" s="10" t="str"/>
      <x:c r="B34" s="10" t="str"/>
      <x:c r="C34" s="10" t="str"/>
      <x:c r="D34" s="10" t="str"/>
      <x:c r="E34" s="10" t="str"/>
      <x:c r="F34" s="10" t="str"/>
      <x:c r="G34" s="12" t="str">
        <x:f>IF(OR(E34="",F34=""),"",E34*F34)</x:f>
      </x:c>
      <x:c r="H34" s="12" t="str">
        <x:f>IF(G34="","",IF(G34&gt;=17,"Critical",IF(G34&gt;=10,"High",IF(G34&gt;=5,"Medium","Low"))))</x:f>
      </x:c>
      <x:c r="I34" s="10" t="str"/>
      <x:c r="J34" s="10" t="str"/>
      <x:c r="K34" s="14" t="str"/>
      <x:c r="L34" s="10" t="str"/>
      <x:c r="M34" s="10" t="str"/>
      <x:c r="N34" s="10" t="str"/>
      <x:c r="O34" s="10" t="str"/>
      <x:c r="P34" s="2"/>
      <x:c r="Q34" s="2"/>
      <x:c r="R34" s="2"/>
      <x:c r="S34" s="2"/>
      <x:c r="T34" s="2"/>
      <x:c r="U34" s="2"/>
      <x:c r="V34" s="2"/>
      <x:c r="W34" s="2"/>
      <x:c r="X34" s="2"/>
      <x:c r="Y34" s="2"/>
      <x:c r="Z34" s="2"/>
    </x:row>
    <x:row r="35" ht="40" customHeight="1">
      <x:c r="A35" s="11" t="str"/>
      <x:c r="B35" s="11" t="str"/>
      <x:c r="C35" s="11" t="str"/>
      <x:c r="D35" s="11" t="str"/>
      <x:c r="E35" s="11" t="str"/>
      <x:c r="F35" s="11" t="str"/>
      <x:c r="G35" s="13" t="str">
        <x:f>IF(OR(E35="",F35=""),"",E35*F35)</x:f>
      </x:c>
      <x:c r="H35" s="13" t="str">
        <x:f>IF(G35="","",IF(G35&gt;=17,"Critical",IF(G35&gt;=10,"High",IF(G35&gt;=5,"Medium","Low"))))</x:f>
      </x:c>
      <x:c r="I35" s="11" t="str"/>
      <x:c r="J35" s="11" t="str"/>
      <x:c r="K35" s="15" t="str"/>
      <x:c r="L35" s="11" t="str"/>
      <x:c r="M35" s="11" t="str"/>
      <x:c r="N35" s="11" t="str"/>
      <x:c r="O35" s="11" t="str"/>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H6:H35">
    <x:cfRule type="containsText" dxfId="7" priority="1" operator="containsText" text="Critical"/>
    <x:cfRule type="containsText" dxfId="8" priority="2" operator="containsText" text="High"/>
  </x:conditionalFormatting>
  <x:conditionalFormatting sqref="L6:L35">
    <x:cfRule type="containsText" dxfId="9" priority="3" operator="containsText" text="Blocked"/>
  </x:conditionalFormatting>
  <x:dataValidations count="4">
    <x:dataValidation type="list" sqref="B6:B35">
      <x:formula1>"Mandate or governance,Coordination,Legal or ethical,Data access,Data quality,Technology or security,Human resources,Finance or sustainability,Vendor or partnership,User trust,Continuity,Other"</x:formula1>
    </x:dataValidation>
    <x:dataValidation type="list" sqref="E6:F35">
      <x:formula1>"1,2,3,4,5"</x:formula1>
    </x:dataValidation>
    <x:dataValidation type="list" sqref="L6:L35">
      <x:formula1>"Not started,In progress,Blocked,Completed,Deferred"</x:formula1>
    </x:dataValidation>
    <x:dataValidation type="list" sqref="O6:O35">
      <x:formula1>"Critical,High,Medium,Low,Not assessed"</x:formula1>
    </x:dataValidation>
  </x:dataValidations>
  <x:pageMargins left="0.7" right="0.7" top="0.75" bottom="0.75" header="0.3" footer="0.3"/>
</x:worksheet>
</file>

<file path=xl/worksheets/sheet8.xml><?xml version="1.0" encoding="utf-8"?>
<x:worksheet xmlns:x="http://schemas.openxmlformats.org/spreadsheetml/2006/main">
  <x:sheetPr>
    <x:tabColor rgb="FF5A6570"/>
  </x:sheetPr>
  <x:sheetViews>
    <x:sheetView showGridLines="0" workbookViewId="0"/>
  </x:sheetViews>
  <x:sheetFormatPr defaultRowHeight="15"/>
  <x:cols>
    <x:col min="1" max="1" width="12" hidden="0" customWidth="1"/>
    <x:col min="2" max="2" width="78"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Mapping Toolkit Guidance</x:v>
      </x:c>
      <x:c r="B2" s="3"/>
      <x:c r="C2" s="3"/>
      <x:c r="D2" s="3"/>
      <x:c r="E2" s="3"/>
      <x:c r="F2" s="3"/>
      <x:c r="G2" s="3"/>
      <x:c r="H2" s="3"/>
      <x:c r="I2" s="2"/>
      <x:c r="J2" s="2"/>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ht="22" customHeight="1">
      <x:c r="A4" s="6" t="str">
        <x:v>Recommended sequence</x:v>
      </x:c>
      <x:c r="B4" s="6"/>
      <x:c r="C4" s="6"/>
      <x:c r="D4" s="6"/>
      <x:c r="E4" s="6"/>
      <x:c r="F4" s="6"/>
      <x:c r="G4" s="6"/>
      <x:c r="H4" s="6"/>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2" customHeight="1">
      <x:c r="A6" s="8" t="str">
        <x:v>Step</x:v>
      </x:c>
      <x:c r="B6" s="8" t="str">
        <x:v>Action</x:v>
      </x:c>
      <x:c r="C6" s="2"/>
      <x:c r="D6" s="2"/>
      <x:c r="E6" s="2"/>
      <x:c r="F6" s="2"/>
      <x:c r="G6" s="2"/>
      <x:c r="H6" s="2"/>
      <x:c r="I6" s="2"/>
      <x:c r="J6" s="2"/>
      <x:c r="K6" s="2"/>
      <x:c r="L6" s="2"/>
      <x:c r="M6" s="2"/>
      <x:c r="N6" s="2"/>
      <x:c r="O6" s="2"/>
      <x:c r="P6" s="2"/>
      <x:c r="Q6" s="2"/>
      <x:c r="R6" s="2"/>
      <x:c r="S6" s="2"/>
      <x:c r="T6" s="2"/>
      <x:c r="U6" s="2"/>
      <x:c r="V6" s="2"/>
      <x:c r="W6" s="2"/>
      <x:c r="X6" s="2"/>
      <x:c r="Y6" s="2"/>
      <x:c r="Z6" s="2"/>
    </x:row>
    <x:row r="7" ht="30" customHeight="1">
      <x:c r="A7" s="19" t="str">
        <x:v>1</x:v>
      </x:c>
      <x:c r="B7" s="19" t="str">
        <x:v>Define the national, sector or workflow boundary and appoint a map owner.</x:v>
      </x:c>
      <x:c r="C7" s="2"/>
      <x:c r="D7" s="2"/>
      <x:c r="E7" s="2"/>
      <x:c r="F7" s="2"/>
      <x:c r="G7" s="2"/>
      <x:c r="H7" s="2"/>
      <x:c r="I7" s="2"/>
      <x:c r="J7" s="2"/>
      <x:c r="K7" s="2"/>
      <x:c r="L7" s="2"/>
      <x:c r="M7" s="2"/>
      <x:c r="N7" s="2"/>
      <x:c r="O7" s="2"/>
      <x:c r="P7" s="2"/>
      <x:c r="Q7" s="2"/>
      <x:c r="R7" s="2"/>
      <x:c r="S7" s="2"/>
      <x:c r="T7" s="2"/>
      <x:c r="U7" s="2"/>
      <x:c r="V7" s="2"/>
      <x:c r="W7" s="2"/>
      <x:c r="X7" s="2"/>
      <x:c r="Y7" s="2"/>
      <x:c r="Z7" s="2"/>
    </x:row>
    <x:row r="8" ht="30" customHeight="1">
      <x:c r="A8" s="19" t="str">
        <x:v>2</x:v>
      </x:c>
      <x:c r="B8" s="19" t="str">
        <x:v>Register institutions and validate mandates, roles and contacts.</x:v>
      </x:c>
      <x:c r="C8" s="2"/>
      <x:c r="D8" s="2"/>
      <x:c r="E8" s="2"/>
      <x:c r="F8" s="2"/>
      <x:c r="G8" s="2"/>
      <x:c r="H8" s="2"/>
      <x:c r="I8" s="2"/>
      <x:c r="J8" s="2"/>
      <x:c r="K8" s="2"/>
      <x:c r="L8" s="2"/>
      <x:c r="M8" s="2"/>
      <x:c r="N8" s="2"/>
      <x:c r="O8" s="2"/>
      <x:c r="P8" s="2"/>
      <x:c r="Q8" s="2"/>
      <x:c r="R8" s="2"/>
      <x:c r="S8" s="2"/>
      <x:c r="T8" s="2"/>
      <x:c r="U8" s="2"/>
      <x:c r="V8" s="2"/>
      <x:c r="W8" s="2"/>
      <x:c r="X8" s="2"/>
      <x:c r="Y8" s="2"/>
      <x:c r="Z8" s="2"/>
    </x:row>
    <x:row r="9" ht="30" customHeight="1">
      <x:c r="A9" s="19" t="str">
        <x:v>3</x:v>
      </x:c>
      <x:c r="B9" s="19" t="str">
        <x:v>Inventory data assets across surveys, censuses, administration, research and alternative sources.</x:v>
      </x:c>
      <x:c r="C9" s="2"/>
      <x:c r="D9" s="2"/>
      <x:c r="E9" s="2"/>
      <x:c r="F9" s="2"/>
      <x:c r="G9" s="2"/>
      <x:c r="H9" s="2"/>
      <x:c r="I9" s="2"/>
      <x:c r="J9" s="2"/>
      <x:c r="K9" s="2"/>
      <x:c r="L9" s="2"/>
      <x:c r="M9" s="2"/>
      <x:c r="N9" s="2"/>
      <x:c r="O9" s="2"/>
      <x:c r="P9" s="2"/>
      <x:c r="Q9" s="2"/>
      <x:c r="R9" s="2"/>
      <x:c r="S9" s="2"/>
      <x:c r="T9" s="2"/>
      <x:c r="U9" s="2"/>
      <x:c r="V9" s="2"/>
      <x:c r="W9" s="2"/>
      <x:c r="X9" s="2"/>
      <x:c r="Y9" s="2"/>
      <x:c r="Z9" s="2"/>
    </x:row>
    <x:row r="10" ht="30" customHeight="1">
      <x:c r="A10" s="19" t="str">
        <x:v>4</x:v>
      </x:c>
      <x:c r="B10" s="19" t="str">
        <x:v>Map recurring and proposed data flows between institutions.</x:v>
      </x:c>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30" customHeight="1">
      <x:c r="A11" s="19" t="str">
        <x:v>5</x:v>
      </x:c>
      <x:c r="B11" s="19" t="str">
        <x:v>Document users, decisions, products and fitness-for-use requirements.</x:v>
      </x:c>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30" customHeight="1">
      <x:c r="A12" s="19" t="str">
        <x:v>6</x:v>
      </x:c>
      <x:c r="B12" s="19" t="str">
        <x:v>Assess coordination arrangements and decision rights.</x:v>
      </x:c>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30" customHeight="1">
      <x:c r="A13" s="20" t="str">
        <x:v>7</x:v>
      </x:c>
      <x:c r="B13" s="20" t="str">
        <x:v>Register risks, agree actions and review the Dashboard.</x:v>
      </x:c>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22" customHeight="1">
      <x:c r="A16" s="6" t="str">
        <x:v>Identifier and evidence rules</x:v>
      </x:c>
      <x:c r="B16" s="6"/>
      <x:c r="C16" s="6"/>
      <x:c r="D16" s="6"/>
      <x:c r="E16" s="6"/>
      <x:c r="F16" s="6"/>
      <x:c r="G16" s="6"/>
      <x:c r="H16" s="6"/>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2" t="str">
        <x:v>Use stable local identifiers such as INST-001, DATA-001, FLOW-001, NEED-001 and RISK-001. Refer to those identifiers across worksheets rather than retyping names. Every material relationship should cite a law, agreement, catalogue, process record, interview or demonstrated system. Mark unknowns explicitly; do not infer ownership, legal authority or quality from reputation alone.</x:v>
      </x:c>
      <x:c r="B18" s="22"/>
      <x:c r="C18" s="22"/>
      <x:c r="D18" s="22"/>
      <x:c r="E18" s="22"/>
      <x:c r="F18" s="22"/>
      <x:c r="G18" s="22"/>
      <x:c r="H18" s="22"/>
      <x:c r="I18" s="2"/>
      <x:c r="J18" s="2"/>
      <x:c r="K18" s="2"/>
      <x:c r="L18" s="2"/>
      <x:c r="M18" s="2"/>
      <x:c r="N18" s="2"/>
      <x:c r="O18" s="2"/>
      <x:c r="P18" s="2"/>
      <x:c r="Q18" s="2"/>
      <x:c r="R18" s="2"/>
      <x:c r="S18" s="2"/>
      <x:c r="T18" s="2"/>
      <x:c r="U18" s="2"/>
      <x:c r="V18" s="2"/>
      <x:c r="W18" s="2"/>
      <x:c r="X18" s="2"/>
      <x:c r="Y18" s="2"/>
      <x:c r="Z18" s="2"/>
    </x:row>
    <x:row r="19">
      <x:c r="A19" s="22"/>
      <x:c r="B19" s="22"/>
      <x:c r="C19" s="22"/>
      <x:c r="D19" s="22"/>
      <x:c r="E19" s="22"/>
      <x:c r="F19" s="22"/>
      <x:c r="G19" s="22"/>
      <x:c r="H19" s="22"/>
      <x:c r="I19" s="2"/>
      <x:c r="J19" s="2"/>
      <x:c r="K19" s="2"/>
      <x:c r="L19" s="2"/>
      <x:c r="M19" s="2"/>
      <x:c r="N19" s="2"/>
      <x:c r="O19" s="2"/>
      <x:c r="P19" s="2"/>
      <x:c r="Q19" s="2"/>
      <x:c r="R19" s="2"/>
      <x:c r="S19" s="2"/>
      <x:c r="T19" s="2"/>
      <x:c r="U19" s="2"/>
      <x:c r="V19" s="2"/>
      <x:c r="W19" s="2"/>
      <x:c r="X19" s="2"/>
      <x:c r="Y19" s="2"/>
      <x:c r="Z19" s="2"/>
    </x:row>
    <x:row r="20">
      <x:c r="A20" s="22"/>
      <x:c r="B20" s="22"/>
      <x:c r="C20" s="22"/>
      <x:c r="D20" s="22"/>
      <x:c r="E20" s="22"/>
      <x:c r="F20" s="22"/>
      <x:c r="G20" s="22"/>
      <x:c r="H20" s="22"/>
      <x:c r="I20" s="2"/>
      <x:c r="J20" s="2"/>
      <x:c r="K20" s="2"/>
      <x:c r="L20" s="2"/>
      <x:c r="M20" s="2"/>
      <x:c r="N20" s="2"/>
      <x:c r="O20" s="2"/>
      <x:c r="P20" s="2"/>
      <x:c r="Q20" s="2"/>
      <x:c r="R20" s="2"/>
      <x:c r="S20" s="2"/>
      <x:c r="T20" s="2"/>
      <x:c r="U20" s="2"/>
      <x:c r="V20" s="2"/>
      <x:c r="W20" s="2"/>
      <x:c r="X20" s="2"/>
      <x:c r="Y20" s="2"/>
      <x:c r="Z20" s="2"/>
    </x:row>
    <x:row r="21">
      <x:c r="A21" s="22"/>
      <x:c r="B21" s="22"/>
      <x:c r="C21" s="22"/>
      <x:c r="D21" s="22"/>
      <x:c r="E21" s="22"/>
      <x:c r="F21" s="22"/>
      <x:c r="G21" s="22"/>
      <x:c r="H21" s="22"/>
      <x:c r="I21" s="2"/>
      <x:c r="J21" s="2"/>
      <x:c r="K21" s="2"/>
      <x:c r="L21" s="2"/>
      <x:c r="M21" s="2"/>
      <x:c r="N21" s="2"/>
      <x:c r="O21" s="2"/>
      <x:c r="P21" s="2"/>
      <x:c r="Q21" s="2"/>
      <x:c r="R21" s="2"/>
      <x:c r="S21" s="2"/>
      <x:c r="T21" s="2"/>
      <x:c r="U21" s="2"/>
      <x:c r="V21" s="2"/>
      <x:c r="W21" s="2"/>
      <x:c r="X21" s="2"/>
      <x:c r="Y21" s="2"/>
      <x:c r="Z21" s="2"/>
    </x:row>
    <x:row r="22">
      <x:c r="A22" s="22"/>
      <x:c r="B22" s="22"/>
      <x:c r="C22" s="22"/>
      <x:c r="D22" s="22"/>
      <x:c r="E22" s="22"/>
      <x:c r="F22" s="22"/>
      <x:c r="G22" s="22"/>
      <x:c r="H22" s="2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22" customHeight="1">
      <x:c r="A25" s="6" t="str">
        <x:v>Interpretation safeguards</x:v>
      </x:c>
      <x:c r="B25" s="6"/>
      <x:c r="C25" s="6"/>
      <x:c r="D25" s="6"/>
      <x:c r="E25" s="6"/>
      <x:c r="F25" s="6"/>
      <x:c r="G25" s="6"/>
      <x:c r="H25" s="6"/>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2" t="str">
        <x:v>The map is a decision instrument, not a directory alone. It should reveal duplicated production, missing coverage, single points of failure, inaccessible administrative data, disconnected research information, weak user links and institutions excluded by resource constraints. Dashboard counts reflect recorded entries and must not be treated as coverage rates without an independently defined denominator. Review and update the map whenever mandates, systems, agreements or major statistical programmes change.</x:v>
      </x:c>
      <x:c r="B27" s="22"/>
      <x:c r="C27" s="22"/>
      <x:c r="D27" s="22"/>
      <x:c r="E27" s="22"/>
      <x:c r="F27" s="22"/>
      <x:c r="G27" s="22"/>
      <x:c r="H27" s="22"/>
      <x:c r="I27" s="2"/>
      <x:c r="J27" s="2"/>
      <x:c r="K27" s="2"/>
      <x:c r="L27" s="2"/>
      <x:c r="M27" s="2"/>
      <x:c r="N27" s="2"/>
      <x:c r="O27" s="2"/>
      <x:c r="P27" s="2"/>
      <x:c r="Q27" s="2"/>
      <x:c r="R27" s="2"/>
      <x:c r="S27" s="2"/>
      <x:c r="T27" s="2"/>
      <x:c r="U27" s="2"/>
      <x:c r="V27" s="2"/>
      <x:c r="W27" s="2"/>
      <x:c r="X27" s="2"/>
      <x:c r="Y27" s="2"/>
      <x:c r="Z27" s="2"/>
    </x:row>
    <x:row r="28">
      <x:c r="A28" s="22"/>
      <x:c r="B28" s="22"/>
      <x:c r="C28" s="22"/>
      <x:c r="D28" s="22"/>
      <x:c r="E28" s="22"/>
      <x:c r="F28" s="22"/>
      <x:c r="G28" s="22"/>
      <x:c r="H28" s="22"/>
      <x:c r="I28" s="2"/>
      <x:c r="J28" s="2"/>
      <x:c r="K28" s="2"/>
      <x:c r="L28" s="2"/>
      <x:c r="M28" s="2"/>
      <x:c r="N28" s="2"/>
      <x:c r="O28" s="2"/>
      <x:c r="P28" s="2"/>
      <x:c r="Q28" s="2"/>
      <x:c r="R28" s="2"/>
      <x:c r="S28" s="2"/>
      <x:c r="T28" s="2"/>
      <x:c r="U28" s="2"/>
      <x:c r="V28" s="2"/>
      <x:c r="W28" s="2"/>
      <x:c r="X28" s="2"/>
      <x:c r="Y28" s="2"/>
      <x:c r="Z28" s="2"/>
    </x:row>
    <x:row r="29">
      <x:c r="A29" s="22"/>
      <x:c r="B29" s="22"/>
      <x:c r="C29" s="22"/>
      <x:c r="D29" s="22"/>
      <x:c r="E29" s="22"/>
      <x:c r="F29" s="22"/>
      <x:c r="G29" s="22"/>
      <x:c r="H29" s="22"/>
      <x:c r="I29" s="2"/>
      <x:c r="J29" s="2"/>
      <x:c r="K29" s="2"/>
      <x:c r="L29" s="2"/>
      <x:c r="M29" s="2"/>
      <x:c r="N29" s="2"/>
      <x:c r="O29" s="2"/>
      <x:c r="P29" s="2"/>
      <x:c r="Q29" s="2"/>
      <x:c r="R29" s="2"/>
      <x:c r="S29" s="2"/>
      <x:c r="T29" s="2"/>
      <x:c r="U29" s="2"/>
      <x:c r="V29" s="2"/>
      <x:c r="W29" s="2"/>
      <x:c r="X29" s="2"/>
      <x:c r="Y29" s="2"/>
      <x:c r="Z29" s="2"/>
    </x:row>
    <x:row r="30">
      <x:c r="A30" s="22"/>
      <x:c r="B30" s="22"/>
      <x:c r="C30" s="22"/>
      <x:c r="D30" s="22"/>
      <x:c r="E30" s="22"/>
      <x:c r="F30" s="22"/>
      <x:c r="G30" s="22"/>
      <x:c r="H30" s="22"/>
      <x:c r="I30" s="2"/>
      <x:c r="J30" s="2"/>
      <x:c r="K30" s="2"/>
      <x:c r="L30" s="2"/>
      <x:c r="M30" s="2"/>
      <x:c r="N30" s="2"/>
      <x:c r="O30" s="2"/>
      <x:c r="P30" s="2"/>
      <x:c r="Q30" s="2"/>
      <x:c r="R30" s="2"/>
      <x:c r="S30" s="2"/>
      <x:c r="T30" s="2"/>
      <x:c r="U30" s="2"/>
      <x:c r="V30" s="2"/>
      <x:c r="W30" s="2"/>
      <x:c r="X30" s="2"/>
      <x:c r="Y30" s="2"/>
      <x:c r="Z30" s="2"/>
    </x:row>
    <x:row r="31">
      <x:c r="A31" s="48" t="str">
        <x:v>AI assisted work controls</x:v>
      </x:c>
      <x:c r="B31" s="48" t="str"/>
      <x:c r="C31" s="22"/>
      <x:c r="D31" s="22"/>
      <x:c r="E31" s="22"/>
      <x:c r="F31" s="22"/>
      <x:c r="G31" s="22"/>
      <x:c r="H31" s="22"/>
      <x:c r="I31" s="2"/>
      <x:c r="J31" s="2"/>
      <x:c r="K31" s="2"/>
      <x:c r="L31" s="2"/>
      <x:c r="M31" s="2"/>
      <x:c r="N31" s="2"/>
      <x:c r="O31" s="2"/>
      <x:c r="P31" s="2"/>
      <x:c r="Q31" s="2"/>
      <x:c r="R31" s="2"/>
      <x:c r="S31" s="2"/>
      <x:c r="T31" s="2"/>
      <x:c r="U31" s="2"/>
      <x:c r="V31" s="2"/>
      <x:c r="W31" s="2"/>
      <x:c r="X31" s="2"/>
      <x:c r="Y31" s="2"/>
      <x:c r="Z31" s="2"/>
    </x:row>
    <x:row r="32">
      <x:c r="A32" s="22"/>
      <x:c r="B32" s="22"/>
      <x:c r="C32" s="22"/>
      <x:c r="D32" s="22"/>
      <x:c r="E32" s="22"/>
      <x:c r="F32" s="22"/>
      <x:c r="G32" s="22"/>
      <x:c r="H32" s="22"/>
      <x:c r="I32" s="2"/>
      <x:c r="J32" s="2"/>
      <x:c r="K32" s="2"/>
      <x:c r="L32" s="2"/>
      <x:c r="M32" s="2"/>
      <x:c r="N32" s="2"/>
      <x:c r="O32" s="2"/>
      <x:c r="P32" s="2"/>
      <x:c r="Q32" s="2"/>
      <x:c r="R32" s="2"/>
      <x:c r="S32" s="2"/>
      <x:c r="T32" s="2"/>
      <x:c r="U32" s="2"/>
      <x:c r="V32" s="2"/>
      <x:c r="W32" s="2"/>
      <x:c r="X32" s="2"/>
      <x:c r="Y32" s="2"/>
      <x:c r="Z32" s="2"/>
    </x:row>
    <x:row r="33">
      <x:c r="A33" s="50" t="str">
        <x:v>Step</x:v>
      </x:c>
      <x:c r="B33" s="50" t="str">
        <x:v>Required action</x:v>
      </x:c>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51" t="str">
        <x:v>8</x:v>
      </x:c>
      <x:c r="B34" s="52" t="str">
        <x:v>Establish a comparable conventional baseline and record elapsed effort.</x:v>
      </x:c>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53" t="str">
        <x:v>9</x:v>
      </x:c>
      <x:c r="B35" s="54" t="str">
        <x:v>Decide what AI could do, what it should do and what remains prohibited.</x:v>
      </x:c>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53" t="str">
        <x:v>10</x:v>
      </x:c>
      <x:c r="B36" s="54" t="str">
        <x:v>Retain the prompt or configuration, tool class, approved inputs and candidate output reference.</x:v>
      </x:c>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53" t="str">
        <x:v>11</x:v>
      </x:c>
      <x:c r="B37" s="54" t="str">
        <x:v>Verify claims independently, record failures, correct the accepted product and state residual limitations.</x:v>
      </x:c>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53" t="str">
        <x:v>12</x:v>
      </x:c>
      <x:c r="B38" s="54" t="str">
        <x:v>Record the statistician decision and required subject matter specialist concurrence or escalation.</x:v>
      </x:c>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53" t="str">
        <x:v>13</x:v>
      </x:c>
      <x:c r="B39" s="54" t="str">
        <x:v>Compare quality adjusted effort, including prompting, verification, correction and rework.</x:v>
      </x:c>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55" t="str">
        <x:v>14</x:v>
      </x:c>
      <x:c r="B40" s="56" t="str">
        <x:v>Complete Assurance before reusing or institutionalizing the workflow.</x:v>
      </x:c>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57" t="str">
        <x:v>Human authority and non substitution</x:v>
      </x:c>
      <x:c r="B43" s="57" t="str"/>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61" t="str">
        <x:v>AI may accelerate extraction, organization, comparison, drafting and controlled testing. It cannot approve its own output or replace the statistician or subject matter specialist. The statistician retains responsibility for concepts, methods, quality, uncertainty and fitness for use. The subject matter specialist retains authority over contextual meaning, operational conditions and domain consequences. Every consequential use requires independent verification, named human disposition and operational stopping rules.</x:v>
      </x:c>
      <x:c r="B45" s="61"/>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61"/>
      <x:c r="B46" s="61"/>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61"/>
      <x:c r="B47" s="61"/>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61"/>
      <x:c r="B48" s="61"/>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H2"/>
    <x:mergeCell ref="A4:H4"/>
    <x:mergeCell ref="A16:H16"/>
    <x:mergeCell ref="A18:H22"/>
    <x:mergeCell ref="A25:H25"/>
    <x:mergeCell ref="A27:H32"/>
    <x:mergeCell ref="A45:B48"/>
  </x:mergeCells>
  <x:pageMargins left="0.7" right="0.7" top="0.75" bottom="0.75" header="0.3" footer="0.3"/>
</x:worksheet>
</file>

<file path=xl/worksheets/sheet9.xml><?xml version="1.0" encoding="utf-8"?>
<x:worksheet xmlns:x="http://schemas.openxmlformats.org/spreadsheetml/2006/main">
  <x:sheetPr>
    <x:tabColor rgb="FF167C80"/>
  </x:sheetPr>
  <x:sheetViews>
    <x:sheetView showGridLines="0" workbookViewId="0">
      <x:pane xSplit="2" ySplit="5" topLeftCell="C6" activePane="bottomRight" state="frozen"/>
    </x:sheetView>
  </x:sheetViews>
  <x:sheetFormatPr defaultRowHeight="15"/>
  <x:cols>
    <x:col min="1" max="1" width="12" hidden="0" customWidth="1"/>
    <x:col min="2" max="2" width="24" hidden="0" customWidth="1"/>
    <x:col min="3" max="3" width="22" hidden="0" customWidth="1"/>
    <x:col min="4" max="4" width="12" hidden="0" customWidth="1"/>
    <x:col min="5" max="5" width="23" hidden="0" customWidth="1"/>
    <x:col min="6" max="6" width="20" hidden="0" customWidth="1"/>
    <x:col min="7" max="7" width="22" hidden="0" customWidth="1"/>
    <x:col min="8" max="8" width="22" hidden="0" customWidth="1"/>
    <x:col min="9" max="9" width="25" hidden="0" customWidth="1"/>
    <x:col min="10" max="10" width="22" hidden="0" customWidth="1"/>
    <x:col min="11" max="11" width="22" hidden="0" customWidth="1"/>
    <x:col min="12" max="12" width="12" hidden="0" customWidth="1"/>
    <x:col min="13" max="13" width="16" hidden="0" customWidth="1"/>
    <x:col min="14" max="14" width="13" hidden="0" customWidth="1"/>
    <x:col min="15" max="15" width="14" hidden="0" customWidth="1"/>
    <x:col min="16" max="16" width="24" hidden="0" customWidth="1"/>
    <x:col min="17" max="17" width="24" hidden="0" customWidth="1"/>
    <x:col min="18" max="18" width="24" hidden="0" customWidth="1"/>
    <x:col min="19" max="19" width="24" hidden="0" customWidth="1"/>
    <x:col min="20" max="20" width="22" hidden="0" customWidth="1"/>
    <x:col min="21" max="21" width="15" hidden="0" customWidth="1"/>
    <x:col min="22" max="22" width="20" hidden="0" customWidth="1"/>
    <x:col min="23" max="23" width="13" hidden="0" customWidth="1"/>
  </x:cols>
  <x:sheetData>
    <x:row r="2">
      <x:c r="A2" s="23" t="str">
        <x:v>AI Assisted Statistical Work Record</x:v>
      </x:c>
    </x:row>
    <x:row r="3">
      <x:c r="A3" s="24" t="str">
        <x:v>Record the baseline, approved AI assistance, verification, correction, quality adjusted efficiency and accountable human decision.</x:v>
      </x:c>
    </x:row>
    <x:row r="4">
      <x:c r="A4" s="25"/>
      <x:c r="B4" s="25"/>
      <x:c r="C4" s="25"/>
      <x:c r="D4" s="25"/>
      <x:c r="E4" s="25"/>
      <x:c r="F4" s="25"/>
      <x:c r="G4" s="25"/>
      <x:c r="H4" s="25"/>
      <x:c r="I4" s="25"/>
      <x:c r="J4" s="25"/>
      <x:c r="K4" s="25"/>
      <x:c r="L4" s="25"/>
      <x:c r="M4" s="25"/>
      <x:c r="N4" s="25"/>
      <x:c r="O4" s="25"/>
      <x:c r="P4" s="25"/>
      <x:c r="Q4" s="25"/>
      <x:c r="R4" s="25"/>
      <x:c r="S4" s="25"/>
      <x:c r="T4" s="25"/>
      <x:c r="U4" s="25"/>
      <x:c r="V4" s="25"/>
      <x:c r="W4" s="25"/>
    </x:row>
    <x:row r="5" ht="34" customHeight="1">
      <x:c r="A5" s="31" t="str">
        <x:v>Record ID</x:v>
      </x:c>
      <x:c r="B5" s="31" t="str">
        <x:v>Statistical task</x:v>
      </x:c>
      <x:c r="C5" s="31" t="str">
        <x:v>Baseline method</x:v>
      </x:c>
      <x:c r="D5" s="31" t="str">
        <x:v>Baseline minutes</x:v>
      </x:c>
      <x:c r="E5" s="31" t="str">
        <x:v>AI capability or tool class</x:v>
      </x:c>
      <x:c r="F5" s="31" t="str">
        <x:v>Input classification</x:v>
      </x:c>
      <x:c r="G5" s="31" t="str">
        <x:v>Prompt or configuration version</x:v>
      </x:c>
      <x:c r="H5" s="31" t="str">
        <x:v>Candidate output reference</x:v>
      </x:c>
      <x:c r="I5" s="31" t="str">
        <x:v>Independent verification method</x:v>
      </x:c>
      <x:c r="J5" s="31" t="str">
        <x:v>Failure detected</x:v>
      </x:c>
      <x:c r="K5" s="31" t="str">
        <x:v>Correction made</x:v>
      </x:c>
      <x:c r="L5" s="31" t="str">
        <x:v>AI execution minutes</x:v>
      </x:c>
      <x:c r="M5" s="31" t="str">
        <x:v>Verification and rework minutes</x:v>
      </x:c>
      <x:c r="N5" s="31" t="str">
        <x:v>Accepted quality</x:v>
      </x:c>
      <x:c r="O5" s="31" t="str">
        <x:v>Net minutes saved</x:v>
      </x:c>
      <x:c r="P5" s="31" t="str">
        <x:v>What AI could do</x:v>
      </x:c>
      <x:c r="Q5" s="31" t="str">
        <x:v>What AI should do</x:v>
      </x:c>
      <x:c r="R5" s="31" t="str">
        <x:v>Statistician decision</x:v>
      </x:c>
      <x:c r="S5" s="31" t="str">
        <x:v>Subject specialist decision</x:v>
      </x:c>
      <x:c r="T5" s="31" t="str">
        <x:v>Stopping rule</x:v>
      </x:c>
      <x:c r="U5" s="31" t="str">
        <x:v>Final disposition</x:v>
      </x:c>
      <x:c r="V5" s="31" t="str">
        <x:v>Accountable reviewer</x:v>
      </x:c>
      <x:c r="W5" s="31" t="str">
        <x:v>Review date</x:v>
      </x:c>
    </x:row>
    <x:row r="6" ht="32" customHeight="1">
      <x:c r="A6" s="38"/>
      <x:c r="B6" s="39"/>
      <x:c r="C6" s="39"/>
      <x:c r="D6" s="40"/>
      <x:c r="E6" s="39"/>
      <x:c r="F6" s="39"/>
      <x:c r="G6" s="39"/>
      <x:c r="H6" s="39"/>
      <x:c r="I6" s="39"/>
      <x:c r="J6" s="39"/>
      <x:c r="K6" s="39"/>
      <x:c r="L6" s="40"/>
      <x:c r="M6" s="40"/>
      <x:c r="N6" s="40"/>
      <x:c r="O6" s="36" t="str">
        <x:f>IF(OR(D6="",L6="",M6=""),"",D6-(L6+M6))</x:f>
      </x:c>
      <x:c r="P6" s="39"/>
      <x:c r="Q6" s="39"/>
      <x:c r="R6" s="39"/>
      <x:c r="S6" s="39"/>
      <x:c r="T6" s="39"/>
      <x:c r="U6" s="39"/>
      <x:c r="V6" s="39"/>
      <x:c r="W6" s="41"/>
    </x:row>
    <x:row r="7" ht="32" customHeight="1">
      <x:c r="A7" s="38"/>
      <x:c r="B7" s="39"/>
      <x:c r="C7" s="39"/>
      <x:c r="D7" s="40"/>
      <x:c r="E7" s="39"/>
      <x:c r="F7" s="39"/>
      <x:c r="G7" s="39"/>
      <x:c r="H7" s="39"/>
      <x:c r="I7" s="39"/>
      <x:c r="J7" s="39"/>
      <x:c r="K7" s="39"/>
      <x:c r="L7" s="40"/>
      <x:c r="M7" s="40"/>
      <x:c r="N7" s="40"/>
      <x:c r="O7" s="36" t="str">
        <x:f>IF(OR(D7="",L7="",M7=""),"",D7-(L7+M7))</x:f>
      </x:c>
      <x:c r="P7" s="39"/>
      <x:c r="Q7" s="39"/>
      <x:c r="R7" s="39"/>
      <x:c r="S7" s="39"/>
      <x:c r="T7" s="39"/>
      <x:c r="U7" s="39"/>
      <x:c r="V7" s="39"/>
      <x:c r="W7" s="41"/>
    </x:row>
    <x:row r="8" ht="32" customHeight="1">
      <x:c r="A8" s="38"/>
      <x:c r="B8" s="39"/>
      <x:c r="C8" s="39"/>
      <x:c r="D8" s="40"/>
      <x:c r="E8" s="39"/>
      <x:c r="F8" s="39"/>
      <x:c r="G8" s="39"/>
      <x:c r="H8" s="39"/>
      <x:c r="I8" s="39"/>
      <x:c r="J8" s="39"/>
      <x:c r="K8" s="39"/>
      <x:c r="L8" s="40"/>
      <x:c r="M8" s="40"/>
      <x:c r="N8" s="40"/>
      <x:c r="O8" s="36" t="str">
        <x:f>IF(OR(D8="",L8="",M8=""),"",D8-(L8+M8))</x:f>
      </x:c>
      <x:c r="P8" s="39"/>
      <x:c r="Q8" s="39"/>
      <x:c r="R8" s="39"/>
      <x:c r="S8" s="39"/>
      <x:c r="T8" s="39"/>
      <x:c r="U8" s="39"/>
      <x:c r="V8" s="39"/>
      <x:c r="W8" s="41"/>
    </x:row>
    <x:row r="9" ht="32" customHeight="1">
      <x:c r="A9" s="38"/>
      <x:c r="B9" s="39"/>
      <x:c r="C9" s="39"/>
      <x:c r="D9" s="40"/>
      <x:c r="E9" s="39"/>
      <x:c r="F9" s="39"/>
      <x:c r="G9" s="39"/>
      <x:c r="H9" s="39"/>
      <x:c r="I9" s="39"/>
      <x:c r="J9" s="39"/>
      <x:c r="K9" s="39"/>
      <x:c r="L9" s="40"/>
      <x:c r="M9" s="40"/>
      <x:c r="N9" s="40"/>
      <x:c r="O9" s="36" t="str">
        <x:f>IF(OR(D9="",L9="",M9=""),"",D9-(L9+M9))</x:f>
      </x:c>
      <x:c r="P9" s="39"/>
      <x:c r="Q9" s="39"/>
      <x:c r="R9" s="39"/>
      <x:c r="S9" s="39"/>
      <x:c r="T9" s="39"/>
      <x:c r="U9" s="39"/>
      <x:c r="V9" s="39"/>
      <x:c r="W9" s="41"/>
    </x:row>
    <x:row r="10" ht="32" customHeight="1">
      <x:c r="A10" s="38"/>
      <x:c r="B10" s="39"/>
      <x:c r="C10" s="39"/>
      <x:c r="D10" s="40"/>
      <x:c r="E10" s="39"/>
      <x:c r="F10" s="39"/>
      <x:c r="G10" s="39"/>
      <x:c r="H10" s="39"/>
      <x:c r="I10" s="39"/>
      <x:c r="J10" s="39"/>
      <x:c r="K10" s="39"/>
      <x:c r="L10" s="40"/>
      <x:c r="M10" s="40"/>
      <x:c r="N10" s="40"/>
      <x:c r="O10" s="36" t="str">
        <x:f>IF(OR(D10="",L10="",M10=""),"",D10-(L10+M10))</x:f>
      </x:c>
      <x:c r="P10" s="39"/>
      <x:c r="Q10" s="39"/>
      <x:c r="R10" s="39"/>
      <x:c r="S10" s="39"/>
      <x:c r="T10" s="39"/>
      <x:c r="U10" s="39"/>
      <x:c r="V10" s="39"/>
      <x:c r="W10" s="41"/>
    </x:row>
    <x:row r="11" ht="32" customHeight="1">
      <x:c r="A11" s="38"/>
      <x:c r="B11" s="39"/>
      <x:c r="C11" s="39"/>
      <x:c r="D11" s="40"/>
      <x:c r="E11" s="39"/>
      <x:c r="F11" s="39"/>
      <x:c r="G11" s="39"/>
      <x:c r="H11" s="39"/>
      <x:c r="I11" s="39"/>
      <x:c r="J11" s="39"/>
      <x:c r="K11" s="39"/>
      <x:c r="L11" s="40"/>
      <x:c r="M11" s="40"/>
      <x:c r="N11" s="40"/>
      <x:c r="O11" s="36" t="str">
        <x:f>IF(OR(D11="",L11="",M11=""),"",D11-(L11+M11))</x:f>
      </x:c>
      <x:c r="P11" s="39"/>
      <x:c r="Q11" s="39"/>
      <x:c r="R11" s="39"/>
      <x:c r="S11" s="39"/>
      <x:c r="T11" s="39"/>
      <x:c r="U11" s="39"/>
      <x:c r="V11" s="39"/>
      <x:c r="W11" s="41"/>
    </x:row>
    <x:row r="12" ht="32" customHeight="1">
      <x:c r="A12" s="38"/>
      <x:c r="B12" s="39"/>
      <x:c r="C12" s="39"/>
      <x:c r="D12" s="40"/>
      <x:c r="E12" s="39"/>
      <x:c r="F12" s="39"/>
      <x:c r="G12" s="39"/>
      <x:c r="H12" s="39"/>
      <x:c r="I12" s="39"/>
      <x:c r="J12" s="39"/>
      <x:c r="K12" s="39"/>
      <x:c r="L12" s="40"/>
      <x:c r="M12" s="40"/>
      <x:c r="N12" s="40"/>
      <x:c r="O12" s="36" t="str">
        <x:f>IF(OR(D12="",L12="",M12=""),"",D12-(L12+M12))</x:f>
      </x:c>
      <x:c r="P12" s="39"/>
      <x:c r="Q12" s="39"/>
      <x:c r="R12" s="39"/>
      <x:c r="S12" s="39"/>
      <x:c r="T12" s="39"/>
      <x:c r="U12" s="39"/>
      <x:c r="V12" s="39"/>
      <x:c r="W12" s="41"/>
    </x:row>
    <x:row r="13" ht="32" customHeight="1">
      <x:c r="A13" s="38"/>
      <x:c r="B13" s="39"/>
      <x:c r="C13" s="39"/>
      <x:c r="D13" s="40"/>
      <x:c r="E13" s="39"/>
      <x:c r="F13" s="39"/>
      <x:c r="G13" s="39"/>
      <x:c r="H13" s="39"/>
      <x:c r="I13" s="39"/>
      <x:c r="J13" s="39"/>
      <x:c r="K13" s="39"/>
      <x:c r="L13" s="40"/>
      <x:c r="M13" s="40"/>
      <x:c r="N13" s="40"/>
      <x:c r="O13" s="36" t="str">
        <x:f>IF(OR(D13="",L13="",M13=""),"",D13-(L13+M13))</x:f>
      </x:c>
      <x:c r="P13" s="39"/>
      <x:c r="Q13" s="39"/>
      <x:c r="R13" s="39"/>
      <x:c r="S13" s="39"/>
      <x:c r="T13" s="39"/>
      <x:c r="U13" s="39"/>
      <x:c r="V13" s="39"/>
      <x:c r="W13" s="41"/>
    </x:row>
    <x:row r="14" ht="32" customHeight="1">
      <x:c r="A14" s="38"/>
      <x:c r="B14" s="39"/>
      <x:c r="C14" s="39"/>
      <x:c r="D14" s="40"/>
      <x:c r="E14" s="39"/>
      <x:c r="F14" s="39"/>
      <x:c r="G14" s="39"/>
      <x:c r="H14" s="39"/>
      <x:c r="I14" s="39"/>
      <x:c r="J14" s="39"/>
      <x:c r="K14" s="39"/>
      <x:c r="L14" s="40"/>
      <x:c r="M14" s="40"/>
      <x:c r="N14" s="40"/>
      <x:c r="O14" s="36" t="str">
        <x:f>IF(OR(D14="",L14="",M14=""),"",D14-(L14+M14))</x:f>
      </x:c>
      <x:c r="P14" s="39"/>
      <x:c r="Q14" s="39"/>
      <x:c r="R14" s="39"/>
      <x:c r="S14" s="39"/>
      <x:c r="T14" s="39"/>
      <x:c r="U14" s="39"/>
      <x:c r="V14" s="39"/>
      <x:c r="W14" s="41"/>
    </x:row>
    <x:row r="15" ht="32" customHeight="1">
      <x:c r="A15" s="38"/>
      <x:c r="B15" s="39"/>
      <x:c r="C15" s="39"/>
      <x:c r="D15" s="40"/>
      <x:c r="E15" s="39"/>
      <x:c r="F15" s="39"/>
      <x:c r="G15" s="39"/>
      <x:c r="H15" s="39"/>
      <x:c r="I15" s="39"/>
      <x:c r="J15" s="39"/>
      <x:c r="K15" s="39"/>
      <x:c r="L15" s="40"/>
      <x:c r="M15" s="40"/>
      <x:c r="N15" s="40"/>
      <x:c r="O15" s="36" t="str">
        <x:f>IF(OR(D15="",L15="",M15=""),"",D15-(L15+M15))</x:f>
      </x:c>
      <x:c r="P15" s="39"/>
      <x:c r="Q15" s="39"/>
      <x:c r="R15" s="39"/>
      <x:c r="S15" s="39"/>
      <x:c r="T15" s="39"/>
      <x:c r="U15" s="39"/>
      <x:c r="V15" s="39"/>
      <x:c r="W15" s="41"/>
    </x:row>
    <x:row r="16" ht="32" customHeight="1">
      <x:c r="A16" s="38"/>
      <x:c r="B16" s="39"/>
      <x:c r="C16" s="39"/>
      <x:c r="D16" s="40"/>
      <x:c r="E16" s="39"/>
      <x:c r="F16" s="39"/>
      <x:c r="G16" s="39"/>
      <x:c r="H16" s="39"/>
      <x:c r="I16" s="39"/>
      <x:c r="J16" s="39"/>
      <x:c r="K16" s="39"/>
      <x:c r="L16" s="40"/>
      <x:c r="M16" s="40"/>
      <x:c r="N16" s="40"/>
      <x:c r="O16" s="36" t="str">
        <x:f>IF(OR(D16="",L16="",M16=""),"",D16-(L16+M16))</x:f>
      </x:c>
      <x:c r="P16" s="39"/>
      <x:c r="Q16" s="39"/>
      <x:c r="R16" s="39"/>
      <x:c r="S16" s="39"/>
      <x:c r="T16" s="39"/>
      <x:c r="U16" s="39"/>
      <x:c r="V16" s="39"/>
      <x:c r="W16" s="41"/>
    </x:row>
    <x:row r="17" ht="32" customHeight="1">
      <x:c r="A17" s="38"/>
      <x:c r="B17" s="39"/>
      <x:c r="C17" s="39"/>
      <x:c r="D17" s="40"/>
      <x:c r="E17" s="39"/>
      <x:c r="F17" s="39"/>
      <x:c r="G17" s="39"/>
      <x:c r="H17" s="39"/>
      <x:c r="I17" s="39"/>
      <x:c r="J17" s="39"/>
      <x:c r="K17" s="39"/>
      <x:c r="L17" s="40"/>
      <x:c r="M17" s="40"/>
      <x:c r="N17" s="40"/>
      <x:c r="O17" s="36" t="str">
        <x:f>IF(OR(D17="",L17="",M17=""),"",D17-(L17+M17))</x:f>
      </x:c>
      <x:c r="P17" s="39"/>
      <x:c r="Q17" s="39"/>
      <x:c r="R17" s="39"/>
      <x:c r="S17" s="39"/>
      <x:c r="T17" s="39"/>
      <x:c r="U17" s="39"/>
      <x:c r="V17" s="39"/>
      <x:c r="W17" s="41"/>
    </x:row>
    <x:row r="18" ht="32" customHeight="1">
      <x:c r="A18" s="38"/>
      <x:c r="B18" s="39"/>
      <x:c r="C18" s="39"/>
      <x:c r="D18" s="40"/>
      <x:c r="E18" s="39"/>
      <x:c r="F18" s="39"/>
      <x:c r="G18" s="39"/>
      <x:c r="H18" s="39"/>
      <x:c r="I18" s="39"/>
      <x:c r="J18" s="39"/>
      <x:c r="K18" s="39"/>
      <x:c r="L18" s="40"/>
      <x:c r="M18" s="40"/>
      <x:c r="N18" s="40"/>
      <x:c r="O18" s="36" t="str">
        <x:f>IF(OR(D18="",L18="",M18=""),"",D18-(L18+M18))</x:f>
      </x:c>
      <x:c r="P18" s="39"/>
      <x:c r="Q18" s="39"/>
      <x:c r="R18" s="39"/>
      <x:c r="S18" s="39"/>
      <x:c r="T18" s="39"/>
      <x:c r="U18" s="39"/>
      <x:c r="V18" s="39"/>
      <x:c r="W18" s="41"/>
    </x:row>
    <x:row r="19" ht="32" customHeight="1">
      <x:c r="A19" s="38"/>
      <x:c r="B19" s="39"/>
      <x:c r="C19" s="39"/>
      <x:c r="D19" s="40"/>
      <x:c r="E19" s="39"/>
      <x:c r="F19" s="39"/>
      <x:c r="G19" s="39"/>
      <x:c r="H19" s="39"/>
      <x:c r="I19" s="39"/>
      <x:c r="J19" s="39"/>
      <x:c r="K19" s="39"/>
      <x:c r="L19" s="40"/>
      <x:c r="M19" s="40"/>
      <x:c r="N19" s="40"/>
      <x:c r="O19" s="36" t="str">
        <x:f>IF(OR(D19="",L19="",M19=""),"",D19-(L19+M19))</x:f>
      </x:c>
      <x:c r="P19" s="39"/>
      <x:c r="Q19" s="39"/>
      <x:c r="R19" s="39"/>
      <x:c r="S19" s="39"/>
      <x:c r="T19" s="39"/>
      <x:c r="U19" s="39"/>
      <x:c r="V19" s="39"/>
      <x:c r="W19" s="41"/>
    </x:row>
    <x:row r="20" ht="32" customHeight="1">
      <x:c r="A20" s="38"/>
      <x:c r="B20" s="39"/>
      <x:c r="C20" s="39"/>
      <x:c r="D20" s="40"/>
      <x:c r="E20" s="39"/>
      <x:c r="F20" s="39"/>
      <x:c r="G20" s="39"/>
      <x:c r="H20" s="39"/>
      <x:c r="I20" s="39"/>
      <x:c r="J20" s="39"/>
      <x:c r="K20" s="39"/>
      <x:c r="L20" s="40"/>
      <x:c r="M20" s="40"/>
      <x:c r="N20" s="40"/>
      <x:c r="O20" s="36" t="str">
        <x:f>IF(OR(D20="",L20="",M20=""),"",D20-(L20+M20))</x:f>
      </x:c>
      <x:c r="P20" s="39"/>
      <x:c r="Q20" s="39"/>
      <x:c r="R20" s="39"/>
      <x:c r="S20" s="39"/>
      <x:c r="T20" s="39"/>
      <x:c r="U20" s="39"/>
      <x:c r="V20" s="39"/>
      <x:c r="W20" s="41"/>
    </x:row>
    <x:row r="21" ht="32" customHeight="1">
      <x:c r="A21" s="38"/>
      <x:c r="B21" s="39"/>
      <x:c r="C21" s="39"/>
      <x:c r="D21" s="40"/>
      <x:c r="E21" s="39"/>
      <x:c r="F21" s="39"/>
      <x:c r="G21" s="39"/>
      <x:c r="H21" s="39"/>
      <x:c r="I21" s="39"/>
      <x:c r="J21" s="39"/>
      <x:c r="K21" s="39"/>
      <x:c r="L21" s="40"/>
      <x:c r="M21" s="40"/>
      <x:c r="N21" s="40"/>
      <x:c r="O21" s="36" t="str">
        <x:f>IF(OR(D21="",L21="",M21=""),"",D21-(L21+M21))</x:f>
      </x:c>
      <x:c r="P21" s="39"/>
      <x:c r="Q21" s="39"/>
      <x:c r="R21" s="39"/>
      <x:c r="S21" s="39"/>
      <x:c r="T21" s="39"/>
      <x:c r="U21" s="39"/>
      <x:c r="V21" s="39"/>
      <x:c r="W21" s="41"/>
    </x:row>
    <x:row r="22" ht="32" customHeight="1">
      <x:c r="A22" s="38"/>
      <x:c r="B22" s="39"/>
      <x:c r="C22" s="39"/>
      <x:c r="D22" s="40"/>
      <x:c r="E22" s="39"/>
      <x:c r="F22" s="39"/>
      <x:c r="G22" s="39"/>
      <x:c r="H22" s="39"/>
      <x:c r="I22" s="39"/>
      <x:c r="J22" s="39"/>
      <x:c r="K22" s="39"/>
      <x:c r="L22" s="40"/>
      <x:c r="M22" s="40"/>
      <x:c r="N22" s="40"/>
      <x:c r="O22" s="36" t="str">
        <x:f>IF(OR(D22="",L22="",M22=""),"",D22-(L22+M22))</x:f>
      </x:c>
      <x:c r="P22" s="39"/>
      <x:c r="Q22" s="39"/>
      <x:c r="R22" s="39"/>
      <x:c r="S22" s="39"/>
      <x:c r="T22" s="39"/>
      <x:c r="U22" s="39"/>
      <x:c r="V22" s="39"/>
      <x:c r="W22" s="41"/>
    </x:row>
    <x:row r="23" ht="32" customHeight="1">
      <x:c r="A23" s="38"/>
      <x:c r="B23" s="39"/>
      <x:c r="C23" s="39"/>
      <x:c r="D23" s="40"/>
      <x:c r="E23" s="39"/>
      <x:c r="F23" s="39"/>
      <x:c r="G23" s="39"/>
      <x:c r="H23" s="39"/>
      <x:c r="I23" s="39"/>
      <x:c r="J23" s="39"/>
      <x:c r="K23" s="39"/>
      <x:c r="L23" s="40"/>
      <x:c r="M23" s="40"/>
      <x:c r="N23" s="40"/>
      <x:c r="O23" s="36" t="str">
        <x:f>IF(OR(D23="",L23="",M23=""),"",D23-(L23+M23))</x:f>
      </x:c>
      <x:c r="P23" s="39"/>
      <x:c r="Q23" s="39"/>
      <x:c r="R23" s="39"/>
      <x:c r="S23" s="39"/>
      <x:c r="T23" s="39"/>
      <x:c r="U23" s="39"/>
      <x:c r="V23" s="39"/>
      <x:c r="W23" s="41"/>
    </x:row>
    <x:row r="24" ht="32" customHeight="1">
      <x:c r="A24" s="38"/>
      <x:c r="B24" s="39"/>
      <x:c r="C24" s="39"/>
      <x:c r="D24" s="40"/>
      <x:c r="E24" s="39"/>
      <x:c r="F24" s="39"/>
      <x:c r="G24" s="39"/>
      <x:c r="H24" s="39"/>
      <x:c r="I24" s="39"/>
      <x:c r="J24" s="39"/>
      <x:c r="K24" s="39"/>
      <x:c r="L24" s="40"/>
      <x:c r="M24" s="40"/>
      <x:c r="N24" s="40"/>
      <x:c r="O24" s="36" t="str">
        <x:f>IF(OR(D24="",L24="",M24=""),"",D24-(L24+M24))</x:f>
      </x:c>
      <x:c r="P24" s="39"/>
      <x:c r="Q24" s="39"/>
      <x:c r="R24" s="39"/>
      <x:c r="S24" s="39"/>
      <x:c r="T24" s="39"/>
      <x:c r="U24" s="39"/>
      <x:c r="V24" s="39"/>
      <x:c r="W24" s="41"/>
    </x:row>
    <x:row r="25" ht="32" customHeight="1">
      <x:c r="A25" s="38"/>
      <x:c r="B25" s="39"/>
      <x:c r="C25" s="39"/>
      <x:c r="D25" s="40"/>
      <x:c r="E25" s="39"/>
      <x:c r="F25" s="39"/>
      <x:c r="G25" s="39"/>
      <x:c r="H25" s="39"/>
      <x:c r="I25" s="39"/>
      <x:c r="J25" s="39"/>
      <x:c r="K25" s="39"/>
      <x:c r="L25" s="40"/>
      <x:c r="M25" s="40"/>
      <x:c r="N25" s="40"/>
      <x:c r="O25" s="36" t="str">
        <x:f>IF(OR(D25="",L25="",M25=""),"",D25-(L25+M25))</x:f>
      </x:c>
      <x:c r="P25" s="39"/>
      <x:c r="Q25" s="39"/>
      <x:c r="R25" s="39"/>
      <x:c r="S25" s="39"/>
      <x:c r="T25" s="39"/>
      <x:c r="U25" s="39"/>
      <x:c r="V25" s="39"/>
      <x:c r="W25" s="41"/>
    </x:row>
    <x:row r="26" ht="32" customHeight="1">
      <x:c r="A26" s="38"/>
      <x:c r="B26" s="39"/>
      <x:c r="C26" s="39"/>
      <x:c r="D26" s="40"/>
      <x:c r="E26" s="39"/>
      <x:c r="F26" s="39"/>
      <x:c r="G26" s="39"/>
      <x:c r="H26" s="39"/>
      <x:c r="I26" s="39"/>
      <x:c r="J26" s="39"/>
      <x:c r="K26" s="39"/>
      <x:c r="L26" s="40"/>
      <x:c r="M26" s="40"/>
      <x:c r="N26" s="40"/>
      <x:c r="O26" s="36" t="str">
        <x:f>IF(OR(D26="",L26="",M26=""),"",D26-(L26+M26))</x:f>
      </x:c>
      <x:c r="P26" s="39"/>
      <x:c r="Q26" s="39"/>
      <x:c r="R26" s="39"/>
      <x:c r="S26" s="39"/>
      <x:c r="T26" s="39"/>
      <x:c r="U26" s="39"/>
      <x:c r="V26" s="39"/>
      <x:c r="W26" s="41"/>
    </x:row>
    <x:row r="27" ht="32" customHeight="1">
      <x:c r="A27" s="38"/>
      <x:c r="B27" s="39"/>
      <x:c r="C27" s="39"/>
      <x:c r="D27" s="40"/>
      <x:c r="E27" s="39"/>
      <x:c r="F27" s="39"/>
      <x:c r="G27" s="39"/>
      <x:c r="H27" s="39"/>
      <x:c r="I27" s="39"/>
      <x:c r="J27" s="39"/>
      <x:c r="K27" s="39"/>
      <x:c r="L27" s="40"/>
      <x:c r="M27" s="40"/>
      <x:c r="N27" s="40"/>
      <x:c r="O27" s="36" t="str">
        <x:f>IF(OR(D27="",L27="",M27=""),"",D27-(L27+M27))</x:f>
      </x:c>
      <x:c r="P27" s="39"/>
      <x:c r="Q27" s="39"/>
      <x:c r="R27" s="39"/>
      <x:c r="S27" s="39"/>
      <x:c r="T27" s="39"/>
      <x:c r="U27" s="39"/>
      <x:c r="V27" s="39"/>
      <x:c r="W27" s="41"/>
    </x:row>
    <x:row r="28" ht="32" customHeight="1">
      <x:c r="A28" s="38"/>
      <x:c r="B28" s="39"/>
      <x:c r="C28" s="39"/>
      <x:c r="D28" s="40"/>
      <x:c r="E28" s="39"/>
      <x:c r="F28" s="39"/>
      <x:c r="G28" s="39"/>
      <x:c r="H28" s="39"/>
      <x:c r="I28" s="39"/>
      <x:c r="J28" s="39"/>
      <x:c r="K28" s="39"/>
      <x:c r="L28" s="40"/>
      <x:c r="M28" s="40"/>
      <x:c r="N28" s="40"/>
      <x:c r="O28" s="36" t="str">
        <x:f>IF(OR(D28="",L28="",M28=""),"",D28-(L28+M28))</x:f>
      </x:c>
      <x:c r="P28" s="39"/>
      <x:c r="Q28" s="39"/>
      <x:c r="R28" s="39"/>
      <x:c r="S28" s="39"/>
      <x:c r="T28" s="39"/>
      <x:c r="U28" s="39"/>
      <x:c r="V28" s="39"/>
      <x:c r="W28" s="41"/>
    </x:row>
    <x:row r="29" ht="32" customHeight="1">
      <x:c r="A29" s="38"/>
      <x:c r="B29" s="39"/>
      <x:c r="C29" s="39"/>
      <x:c r="D29" s="40"/>
      <x:c r="E29" s="39"/>
      <x:c r="F29" s="39"/>
      <x:c r="G29" s="39"/>
      <x:c r="H29" s="39"/>
      <x:c r="I29" s="39"/>
      <x:c r="J29" s="39"/>
      <x:c r="K29" s="39"/>
      <x:c r="L29" s="40"/>
      <x:c r="M29" s="40"/>
      <x:c r="N29" s="40"/>
      <x:c r="O29" s="36" t="str">
        <x:f>IF(OR(D29="",L29="",M29=""),"",D29-(L29+M29))</x:f>
      </x:c>
      <x:c r="P29" s="39"/>
      <x:c r="Q29" s="39"/>
      <x:c r="R29" s="39"/>
      <x:c r="S29" s="39"/>
      <x:c r="T29" s="39"/>
      <x:c r="U29" s="39"/>
      <x:c r="V29" s="39"/>
      <x:c r="W29" s="41"/>
    </x:row>
    <x:row r="30" ht="32" customHeight="1">
      <x:c r="A30" s="38"/>
      <x:c r="B30" s="39"/>
      <x:c r="C30" s="39"/>
      <x:c r="D30" s="40"/>
      <x:c r="E30" s="39"/>
      <x:c r="F30" s="39"/>
      <x:c r="G30" s="39"/>
      <x:c r="H30" s="39"/>
      <x:c r="I30" s="39"/>
      <x:c r="J30" s="39"/>
      <x:c r="K30" s="39"/>
      <x:c r="L30" s="40"/>
      <x:c r="M30" s="40"/>
      <x:c r="N30" s="40"/>
      <x:c r="O30" s="36" t="str">
        <x:f>IF(OR(D30="",L30="",M30=""),"",D30-(L30+M30))</x:f>
      </x:c>
      <x:c r="P30" s="39"/>
      <x:c r="Q30" s="39"/>
      <x:c r="R30" s="39"/>
      <x:c r="S30" s="39"/>
      <x:c r="T30" s="39"/>
      <x:c r="U30" s="39"/>
      <x:c r="V30" s="39"/>
      <x:c r="W30" s="41"/>
    </x:row>
    <x:row r="31" ht="32" customHeight="1">
      <x:c r="A31" s="38"/>
      <x:c r="B31" s="39"/>
      <x:c r="C31" s="39"/>
      <x:c r="D31" s="40"/>
      <x:c r="E31" s="39"/>
      <x:c r="F31" s="39"/>
      <x:c r="G31" s="39"/>
      <x:c r="H31" s="39"/>
      <x:c r="I31" s="39"/>
      <x:c r="J31" s="39"/>
      <x:c r="K31" s="39"/>
      <x:c r="L31" s="40"/>
      <x:c r="M31" s="40"/>
      <x:c r="N31" s="40"/>
      <x:c r="O31" s="36" t="str">
        <x:f>IF(OR(D31="",L31="",M31=""),"",D31-(L31+M31))</x:f>
      </x:c>
      <x:c r="P31" s="39"/>
      <x:c r="Q31" s="39"/>
      <x:c r="R31" s="39"/>
      <x:c r="S31" s="39"/>
      <x:c r="T31" s="39"/>
      <x:c r="U31" s="39"/>
      <x:c r="V31" s="39"/>
      <x:c r="W31" s="41"/>
    </x:row>
    <x:row r="32" ht="32" customHeight="1">
      <x:c r="A32" s="38"/>
      <x:c r="B32" s="39"/>
      <x:c r="C32" s="39"/>
      <x:c r="D32" s="40"/>
      <x:c r="E32" s="39"/>
      <x:c r="F32" s="39"/>
      <x:c r="G32" s="39"/>
      <x:c r="H32" s="39"/>
      <x:c r="I32" s="39"/>
      <x:c r="J32" s="39"/>
      <x:c r="K32" s="39"/>
      <x:c r="L32" s="40"/>
      <x:c r="M32" s="40"/>
      <x:c r="N32" s="40"/>
      <x:c r="O32" s="36" t="str">
        <x:f>IF(OR(D32="",L32="",M32=""),"",D32-(L32+M32))</x:f>
      </x:c>
      <x:c r="P32" s="39"/>
      <x:c r="Q32" s="39"/>
      <x:c r="R32" s="39"/>
      <x:c r="S32" s="39"/>
      <x:c r="T32" s="39"/>
      <x:c r="U32" s="39"/>
      <x:c r="V32" s="39"/>
      <x:c r="W32" s="41"/>
    </x:row>
    <x:row r="33" ht="32" customHeight="1">
      <x:c r="A33" s="38"/>
      <x:c r="B33" s="39"/>
      <x:c r="C33" s="39"/>
      <x:c r="D33" s="40"/>
      <x:c r="E33" s="39"/>
      <x:c r="F33" s="39"/>
      <x:c r="G33" s="39"/>
      <x:c r="H33" s="39"/>
      <x:c r="I33" s="39"/>
      <x:c r="J33" s="39"/>
      <x:c r="K33" s="39"/>
      <x:c r="L33" s="40"/>
      <x:c r="M33" s="40"/>
      <x:c r="N33" s="40"/>
      <x:c r="O33" s="36" t="str">
        <x:f>IF(OR(D33="",L33="",M33=""),"",D33-(L33+M33))</x:f>
      </x:c>
      <x:c r="P33" s="39"/>
      <x:c r="Q33" s="39"/>
      <x:c r="R33" s="39"/>
      <x:c r="S33" s="39"/>
      <x:c r="T33" s="39"/>
      <x:c r="U33" s="39"/>
      <x:c r="V33" s="39"/>
      <x:c r="W33" s="41"/>
    </x:row>
    <x:row r="34" ht="32" customHeight="1">
      <x:c r="A34" s="38"/>
      <x:c r="B34" s="39"/>
      <x:c r="C34" s="39"/>
      <x:c r="D34" s="40"/>
      <x:c r="E34" s="39"/>
      <x:c r="F34" s="39"/>
      <x:c r="G34" s="39"/>
      <x:c r="H34" s="39"/>
      <x:c r="I34" s="39"/>
      <x:c r="J34" s="39"/>
      <x:c r="K34" s="39"/>
      <x:c r="L34" s="40"/>
      <x:c r="M34" s="40"/>
      <x:c r="N34" s="40"/>
      <x:c r="O34" s="36" t="str">
        <x:f>IF(OR(D34="",L34="",M34=""),"",D34-(L34+M34))</x:f>
      </x:c>
      <x:c r="P34" s="39"/>
      <x:c r="Q34" s="39"/>
      <x:c r="R34" s="39"/>
      <x:c r="S34" s="39"/>
      <x:c r="T34" s="39"/>
      <x:c r="U34" s="39"/>
      <x:c r="V34" s="39"/>
      <x:c r="W34" s="41"/>
    </x:row>
    <x:row r="35" ht="32" customHeight="1">
      <x:c r="A35" s="38"/>
      <x:c r="B35" s="39"/>
      <x:c r="C35" s="39"/>
      <x:c r="D35" s="40"/>
      <x:c r="E35" s="39"/>
      <x:c r="F35" s="39"/>
      <x:c r="G35" s="39"/>
      <x:c r="H35" s="39"/>
      <x:c r="I35" s="39"/>
      <x:c r="J35" s="39"/>
      <x:c r="K35" s="39"/>
      <x:c r="L35" s="40"/>
      <x:c r="M35" s="40"/>
      <x:c r="N35" s="40"/>
      <x:c r="O35" s="36" t="str">
        <x:f>IF(OR(D35="",L35="",M35=""),"",D35-(L35+M35))</x:f>
      </x:c>
      <x:c r="P35" s="39"/>
      <x:c r="Q35" s="39"/>
      <x:c r="R35" s="39"/>
      <x:c r="S35" s="39"/>
      <x:c r="T35" s="39"/>
      <x:c r="U35" s="39"/>
      <x:c r="V35" s="39"/>
      <x:c r="W35" s="41"/>
    </x:row>
  </x:sheetData>
  <x:mergeCells>
    <x:mergeCell ref="A2:W2"/>
    <x:mergeCell ref="A3:W3"/>
  </x:mergeCells>
  <x:conditionalFormatting sqref="A6:N35">
    <x:cfRule type="containsBlanks" dxfId="11" priority="1"/>
  </x:conditionalFormatting>
  <x:conditionalFormatting sqref="P6:W35">
    <x:cfRule type="containsBlanks" dxfId="12" priority="2"/>
  </x:conditionalFormatting>
  <x:dataValidations count="3">
    <x:dataValidation type="list" sqref="F6:F35">
      <x:formula1>"Public,Internal,Synthetic training data,Confidential or restricted,Not approved for AI"</x:formula1>
    </x:dataValidation>
    <x:dataValidation type="list" sqref="N6:N35">
      <x:formula1>"Yes,No,Pending"</x:formula1>
    </x:dataValidation>
    <x:dataValidation type="list" sqref="U6:U35">
      <x:formula1>"Accept,Revise,Restrict,Escalate,Reject,Stop"</x:formula1>
    </x:dataValidation>
  </x:dataValidations>
  <x:pageMargins left="0.7" right="0.7" top="0.75" bottom="0.75" header="0.3" footer="0.3"/>
  <x:tableParts count="1">
    <x:tablePart xmlns:r="http://schemas.openxmlformats.org/officeDocument/2006/relationships" r:id="Rc5da5725b48d4805"/>
  </x:tableParts>
</x:worksheet>
</file>

<file path=xl/worksheets/sheet10.xml><?xml version="1.0" encoding="utf-8"?>
<x:worksheet xmlns:x="http://schemas.openxmlformats.org/spreadsheetml/2006/main">
  <x:sheetPr>
    <x:tabColor rgb="FF5F9EA0"/>
  </x:sheetPr>
  <x:sheetViews>
    <x:sheetView showGridLines="0" workbookViewId="0">
      <x:pane ySplit="5" topLeftCell="A6" activePane="bottomLeft" state="frozen"/>
    </x:sheetView>
  </x:sheetViews>
  <x:sheetFormatPr defaultRowHeight="15"/>
  <x:cols>
    <x:col min="1" max="1" width="42" hidden="0" customWidth="1"/>
    <x:col min="2" max="2" width="3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x:c r="A1" s="45"/>
      <x:c r="B1" s="45"/>
      <x:c r="C1" s="45"/>
      <x:c r="D1" s="45"/>
      <x:c r="E1" s="45"/>
      <x:c r="F1" s="45"/>
      <x:c r="G1" s="45"/>
      <x:c r="H1" s="45"/>
    </x:row>
    <x:row r="2">
      <x:c r="A2" s="23" t="str">
        <x:v>AI Work Assurance and Approval</x:v>
      </x:c>
      <x:c r="B2" s="45"/>
      <x:c r="C2" s="45"/>
      <x:c r="D2" s="45"/>
      <x:c r="E2" s="45"/>
      <x:c r="F2" s="45"/>
      <x:c r="G2" s="45"/>
      <x:c r="H2" s="45"/>
    </x:row>
    <x:row r="3">
      <x:c r="A3" s="24" t="str">
        <x:v>Use this terminal review sheet to decide whether the recorded workflow is fit for institutional reuse.</x:v>
      </x:c>
      <x:c r="B3" s="45"/>
      <x:c r="C3" s="45"/>
      <x:c r="D3" s="45"/>
      <x:c r="E3" s="45"/>
      <x:c r="F3" s="45"/>
      <x:c r="G3" s="45"/>
      <x:c r="H3" s="45"/>
    </x:row>
    <x:row r="4">
      <x:c r="A4" s="46"/>
      <x:c r="B4" s="46"/>
      <x:c r="C4" s="46"/>
      <x:c r="D4" s="46"/>
      <x:c r="E4" s="46"/>
      <x:c r="F4" s="46"/>
      <x:c r="G4" s="46"/>
      <x:c r="H4" s="46"/>
    </x:row>
    <x:row r="5">
      <x:c r="A5" s="45"/>
      <x:c r="B5" s="45"/>
      <x:c r="C5" s="45"/>
      <x:c r="D5" s="45"/>
      <x:c r="E5" s="45"/>
      <x:c r="F5" s="45"/>
      <x:c r="G5" s="45"/>
      <x:c r="H5" s="45"/>
    </x:row>
    <x:row r="6" ht="34" customHeight="1">
      <x:c r="A6" s="31" t="str">
        <x:v>Control measure</x:v>
      </x:c>
      <x:c r="B6" s="31" t="str">
        <x:v>Current result</x:v>
      </x:c>
      <x:c r="C6" s="45"/>
      <x:c r="D6" s="45"/>
      <x:c r="E6" s="45"/>
      <x:c r="F6" s="45"/>
      <x:c r="G6" s="45"/>
      <x:c r="H6" s="45"/>
    </x:row>
    <x:row r="7">
      <x:c r="A7" s="34" t="str">
        <x:v>AI work records entered</x:v>
      </x:c>
      <x:c r="B7" s="34" t="n">
        <x:f>COUNTA('AI Work Record'!A6:A35)</x:f>
        <x:v>0</x:v>
      </x:c>
      <x:c r="C7" s="45"/>
      <x:c r="D7" s="45"/>
      <x:c r="E7" s="45"/>
      <x:c r="F7" s="45"/>
      <x:c r="G7" s="45"/>
      <x:c r="H7" s="45"/>
    </x:row>
    <x:row r="8">
      <x:c r="A8" s="34" t="str">
        <x:v>Accepted quality records</x:v>
      </x:c>
      <x:c r="B8" s="34" t="n">
        <x:f>COUNTIF('AI Work Record'!N6:N35,"Yes")</x:f>
        <x:v>0</x:v>
      </x:c>
      <x:c r="C8" s="45"/>
      <x:c r="D8" s="45"/>
      <x:c r="E8" s="45"/>
      <x:c r="F8" s="45"/>
      <x:c r="G8" s="45"/>
      <x:c r="H8" s="45"/>
    </x:row>
    <x:row r="9">
      <x:c r="A9" s="34" t="str">
        <x:v>Rejected or stopped records</x:v>
      </x:c>
      <x:c r="B9" s="34" t="n">
        <x:f>COUNTIF('AI Work Record'!U6:U35,"Reject")+COUNTIF('AI Work Record'!U6:U35,"Stop")</x:f>
        <x:v>0</x:v>
      </x:c>
      <x:c r="C9" s="45"/>
      <x:c r="D9" s="45"/>
      <x:c r="E9" s="45"/>
      <x:c r="F9" s="45"/>
      <x:c r="G9" s="45"/>
      <x:c r="H9" s="45"/>
    </x:row>
    <x:row r="10">
      <x:c r="A10" s="34" t="str">
        <x:v>Recorded prompts or configurations</x:v>
      </x:c>
      <x:c r="B10" s="34" t="n">
        <x:f>COUNTA('AI Work Record'!G6:G35)</x:f>
        <x:v>0</x:v>
      </x:c>
      <x:c r="C10" s="45"/>
      <x:c r="D10" s="45"/>
      <x:c r="E10" s="45"/>
      <x:c r="F10" s="45"/>
      <x:c r="G10" s="45"/>
      <x:c r="H10" s="45"/>
    </x:row>
    <x:row r="11">
      <x:c r="A11" s="34" t="str">
        <x:v>Recorded independent verification</x:v>
      </x:c>
      <x:c r="B11" s="34" t="n">
        <x:f>COUNTA('AI Work Record'!I6:I35)</x:f>
        <x:v>0</x:v>
      </x:c>
      <x:c r="C11" s="45"/>
      <x:c r="D11" s="45"/>
      <x:c r="E11" s="45"/>
      <x:c r="F11" s="45"/>
      <x:c r="G11" s="45"/>
      <x:c r="H11" s="45"/>
    </x:row>
    <x:row r="12">
      <x:c r="A12" s="34" t="str">
        <x:v>Named statistician decisions</x:v>
      </x:c>
      <x:c r="B12" s="34" t="n">
        <x:f>COUNTA('AI Work Record'!R6:R35)</x:f>
        <x:v>0</x:v>
      </x:c>
      <x:c r="C12" s="45"/>
      <x:c r="D12" s="45"/>
      <x:c r="E12" s="45"/>
      <x:c r="F12" s="45"/>
      <x:c r="G12" s="45"/>
      <x:c r="H12" s="45"/>
    </x:row>
    <x:row r="13">
      <x:c r="A13" s="34" t="str">
        <x:v>Named subject specialist decisions</x:v>
      </x:c>
      <x:c r="B13" s="34" t="n">
        <x:f>COUNTA('AI Work Record'!S6:S35)</x:f>
        <x:v>0</x:v>
      </x:c>
      <x:c r="C13" s="45"/>
      <x:c r="D13" s="45"/>
      <x:c r="E13" s="45"/>
      <x:c r="F13" s="45"/>
      <x:c r="G13" s="45"/>
      <x:c r="H13" s="45"/>
    </x:row>
    <x:row r="14">
      <x:c r="A14" s="45"/>
      <x:c r="B14" s="45"/>
      <x:c r="C14" s="45"/>
      <x:c r="D14" s="45"/>
      <x:c r="E14" s="45"/>
      <x:c r="F14" s="45"/>
      <x:c r="G14" s="45"/>
      <x:c r="H14" s="45"/>
    </x:row>
    <x:row r="15" ht="34" customHeight="1">
      <x:c r="A15" s="31" t="str">
        <x:v>Control question</x:v>
      </x:c>
      <x:c r="B15" s="31" t="str">
        <x:v>Evidence reference</x:v>
      </x:c>
      <x:c r="C15" s="31" t="str">
        <x:v>Owner</x:v>
      </x:c>
      <x:c r="D15" s="31" t="str">
        <x:v>Decision</x:v>
      </x:c>
      <x:c r="E15" s="31" t="str">
        <x:v>Condition or corrective action</x:v>
      </x:c>
      <x:c r="F15" s="31" t="str">
        <x:v>Review date</x:v>
      </x:c>
      <x:c r="G15" s="31" t="str">
        <x:v>Version</x:v>
      </x:c>
      <x:c r="H15" s="31" t="str">
        <x:v>Sign off</x:v>
      </x:c>
    </x:row>
    <x:row r="16" ht="32" customHeight="1">
      <x:c r="A16" s="35" t="str">
        <x:v>Is the statistical purpose and intended use explicit?</x:v>
      </x:c>
      <x:c r="B16" s="42"/>
      <x:c r="C16" s="42"/>
      <x:c r="D16" s="42"/>
      <x:c r="E16" s="42"/>
      <x:c r="F16" s="43"/>
      <x:c r="G16" s="42"/>
      <x:c r="H16" s="42"/>
    </x:row>
    <x:row r="17" ht="32" customHeight="1">
      <x:c r="A17" s="35" t="str">
        <x:v>Were all inputs classified and processed in an approved environment?</x:v>
      </x:c>
      <x:c r="B17" s="42"/>
      <x:c r="C17" s="42"/>
      <x:c r="D17" s="42"/>
      <x:c r="E17" s="42"/>
      <x:c r="F17" s="43"/>
      <x:c r="G17" s="42"/>
      <x:c r="H17" s="42"/>
    </x:row>
    <x:row r="18" ht="32" customHeight="1">
      <x:c r="A18" s="35" t="str">
        <x:v>Are the baseline and AI assisted workflows comparable?</x:v>
      </x:c>
      <x:c r="B18" s="42"/>
      <x:c r="C18" s="42"/>
      <x:c r="D18" s="42"/>
      <x:c r="E18" s="42"/>
      <x:c r="F18" s="43"/>
      <x:c r="G18" s="42"/>
      <x:c r="H18" s="42"/>
    </x:row>
    <x:row r="19" ht="32" customHeight="1">
      <x:c r="A19" s="35" t="str">
        <x:v>Are prompts or configurations versioned and retained?</x:v>
      </x:c>
      <x:c r="B19" s="42"/>
      <x:c r="C19" s="42"/>
      <x:c r="D19" s="42"/>
      <x:c r="E19" s="42"/>
      <x:c r="F19" s="43"/>
      <x:c r="G19" s="42"/>
      <x:c r="H19" s="42"/>
    </x:row>
    <x:row r="20" ht="32" customHeight="1">
      <x:c r="A20" s="35" t="str">
        <x:v>Were consequential outputs independently verified?</x:v>
      </x:c>
      <x:c r="B20" s="42"/>
      <x:c r="C20" s="42"/>
      <x:c r="D20" s="42"/>
      <x:c r="E20" s="42"/>
      <x:c r="F20" s="43"/>
      <x:c r="G20" s="42"/>
      <x:c r="H20" s="42"/>
    </x:row>
    <x:row r="21" ht="32" customHeight="1">
      <x:c r="A21" s="35" t="str">
        <x:v>Were failures corrected and residual limitations recorded?</x:v>
      </x:c>
      <x:c r="B21" s="42"/>
      <x:c r="C21" s="42"/>
      <x:c r="D21" s="42"/>
      <x:c r="E21" s="42"/>
      <x:c r="F21" s="43"/>
      <x:c r="G21" s="42"/>
      <x:c r="H21" s="42"/>
    </x:row>
    <x:row r="22" ht="32" customHeight="1">
      <x:c r="A22" s="35" t="str">
        <x:v>Is quality adjusted efficiency supported by evidence?</x:v>
      </x:c>
      <x:c r="B22" s="42"/>
      <x:c r="C22" s="42"/>
      <x:c r="D22" s="42"/>
      <x:c r="E22" s="42"/>
      <x:c r="F22" s="43"/>
      <x:c r="G22" s="42"/>
      <x:c r="H22" s="42"/>
    </x:row>
    <x:row r="23" ht="32" customHeight="1">
      <x:c r="A23" s="35" t="str">
        <x:v>Are statistician and subject specialist decisions explicit?</x:v>
      </x:c>
      <x:c r="B23" s="42"/>
      <x:c r="C23" s="42"/>
      <x:c r="D23" s="42"/>
      <x:c r="E23" s="42"/>
      <x:c r="F23" s="43"/>
      <x:c r="G23" s="42"/>
      <x:c r="H23" s="42"/>
    </x:row>
    <x:row r="24" ht="32" customHeight="1">
      <x:c r="A24" s="35" t="str">
        <x:v>Are stopping rules and escalation routes operational?</x:v>
      </x:c>
      <x:c r="B24" s="42"/>
      <x:c r="C24" s="42"/>
      <x:c r="D24" s="42"/>
      <x:c r="E24" s="42"/>
      <x:c r="F24" s="43"/>
      <x:c r="G24" s="42"/>
      <x:c r="H24" s="42"/>
    </x:row>
    <x:row r="25" ht="32" customHeight="1">
      <x:c r="A25" s="35" t="str">
        <x:v>Can the workflow transfer safely as a controlled procedure?</x:v>
      </x:c>
      <x:c r="B25" s="42"/>
      <x:c r="C25" s="42"/>
      <x:c r="D25" s="42"/>
      <x:c r="E25" s="42"/>
      <x:c r="F25" s="43"/>
      <x:c r="G25" s="42"/>
      <x:c r="H25" s="42"/>
    </x:row>
    <x:row r="26">
      <x:c r="A26" s="45"/>
      <x:c r="B26" s="45"/>
      <x:c r="C26" s="45"/>
      <x:c r="D26" s="45"/>
      <x:c r="E26" s="45"/>
      <x:c r="F26" s="45"/>
      <x:c r="G26" s="45"/>
      <x:c r="H26" s="45"/>
    </x:row>
    <x:row r="27" ht="34" customHeight="1">
      <x:c r="A27" s="31" t="str">
        <x:v>Final approval field</x:v>
      </x:c>
      <x:c r="B27" s="31" t="str">
        <x:v>Record</x:v>
      </x:c>
      <x:c r="C27" s="45"/>
      <x:c r="D27" s="45"/>
      <x:c r="E27" s="45"/>
      <x:c r="F27" s="45"/>
      <x:c r="G27" s="45"/>
      <x:c r="H27" s="45"/>
    </x:row>
    <x:row r="28">
      <x:c r="A28" s="34" t="str">
        <x:v>Institutional owner</x:v>
      </x:c>
      <x:c r="B28" s="44" t="str"/>
      <x:c r="C28" s="45"/>
      <x:c r="D28" s="45"/>
      <x:c r="E28" s="45"/>
      <x:c r="F28" s="45"/>
      <x:c r="G28" s="45"/>
      <x:c r="H28" s="45"/>
    </x:row>
    <x:row r="29">
      <x:c r="A29" s="34" t="str">
        <x:v>Approved use and boundary</x:v>
      </x:c>
      <x:c r="B29" s="44" t="str"/>
      <x:c r="C29" s="45"/>
      <x:c r="D29" s="45"/>
      <x:c r="E29" s="45"/>
      <x:c r="F29" s="45"/>
      <x:c r="G29" s="45"/>
      <x:c r="H29" s="45"/>
    </x:row>
    <x:row r="30">
      <x:c r="A30" s="34" t="str">
        <x:v>Prohibited use</x:v>
      </x:c>
      <x:c r="B30" s="44" t="str"/>
      <x:c r="C30" s="45"/>
      <x:c r="D30" s="45"/>
      <x:c r="E30" s="45"/>
      <x:c r="F30" s="45"/>
      <x:c r="G30" s="45"/>
      <x:c r="H30" s="45"/>
    </x:row>
    <x:row r="31">
      <x:c r="A31" s="34" t="str">
        <x:v>Review cycle</x:v>
      </x:c>
      <x:c r="B31" s="44" t="str"/>
      <x:c r="C31" s="45"/>
      <x:c r="D31" s="45"/>
      <x:c r="E31" s="45"/>
      <x:c r="F31" s="45"/>
      <x:c r="G31" s="45"/>
      <x:c r="H31" s="45"/>
    </x:row>
    <x:row r="32">
      <x:c r="A32" s="34" t="str">
        <x:v>Fallback or cessation procedure</x:v>
      </x:c>
      <x:c r="B32" s="44" t="str"/>
      <x:c r="C32" s="45"/>
      <x:c r="D32" s="45"/>
      <x:c r="E32" s="45"/>
      <x:c r="F32" s="45"/>
      <x:c r="G32" s="45"/>
      <x:c r="H32" s="45"/>
    </x:row>
    <x:row r="33">
      <x:c r="A33" s="34" t="str">
        <x:v>Final decision and accountable sign off</x:v>
      </x:c>
      <x:c r="B33" s="44" t="str"/>
      <x:c r="C33" s="45"/>
      <x:c r="D33" s="45"/>
      <x:c r="E33" s="45"/>
      <x:c r="F33" s="45"/>
      <x:c r="G33" s="45"/>
      <x:c r="H33" s="45"/>
    </x:row>
    <x:row r="34">
      <x:c r="A34" s="45"/>
      <x:c r="B34" s="45"/>
      <x:c r="C34" s="45"/>
      <x:c r="D34" s="45"/>
      <x:c r="E34" s="45"/>
      <x:c r="F34" s="45"/>
      <x:c r="G34" s="45"/>
      <x:c r="H34" s="45"/>
    </x:row>
    <x:row r="35">
      <x:c r="A35" s="45"/>
      <x:c r="B35" s="45"/>
      <x:c r="C35" s="45"/>
      <x:c r="D35" s="45"/>
      <x:c r="E35" s="45"/>
      <x:c r="F35" s="45"/>
      <x:c r="G35" s="45"/>
      <x:c r="H35" s="45"/>
    </x:row>
  </x:sheetData>
  <x:mergeCells>
    <x:mergeCell ref="A2:H2"/>
    <x:mergeCell ref="A3:H3"/>
  </x:mergeCells>
  <x:dataValidations count="1">
    <x:dataValidation type="list" sqref="D16:D25">
      <x:formula1>"Conform,Targeted revision,Material redesign,Stop"</x:formula1>
    </x:dataValidation>
  </x:dataValidations>
  <x:pageMargins left="0.7" right="0.7" top="0.75" bottom="0.75" header="0.3" footer="0.3"/>
</x:worksheet>
</file>