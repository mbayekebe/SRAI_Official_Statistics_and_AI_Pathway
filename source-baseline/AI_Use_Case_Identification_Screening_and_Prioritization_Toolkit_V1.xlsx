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c97e3aadf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31487688656450d"/>
    <x:sheet xmlns:r="http://schemas.openxmlformats.org/officeDocument/2006/relationships" name="Pilot Portfolio" sheetId="2" r:id="Rc4f1d9e3a7b94f4d"/>
    <x:sheet xmlns:r="http://schemas.openxmlformats.org/officeDocument/2006/relationships" name="Screening" sheetId="3" r:id="Re23bc380fba74c27"/>
    <x:sheet xmlns:r="http://schemas.openxmlformats.org/officeDocument/2006/relationships" name="Readiness Gates" sheetId="4" r:id="R2582591a20d948f7"/>
    <x:sheet xmlns:r="http://schemas.openxmlformats.org/officeDocument/2006/relationships" name="Use Case Register" sheetId="5" r:id="R64c01a97201c48df"/>
    <x:sheet xmlns:r="http://schemas.openxmlformats.org/officeDocument/2006/relationships" name="Decision Log" sheetId="6" r:id="R50283e66d5794ab2"/>
    <x:sheet xmlns:r="http://schemas.openxmlformats.org/officeDocument/2006/relationships" name="Guidance" sheetId="7" r:id="R7358c366a2f5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5"/>
      <x:color rgb="FF17365D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DDEBF7"/>
      </x:patternFill>
    </x:fill>
  </x:fills>
  <x:borders count="6">
    <x:border/>
    <x:border>
      <x:bottom style="medium">
        <x:color rgb="FF0F6B78"/>
      </x:bottom>
    </x:border>
    <x:border>
      <x:right style="thin">
        <x:color rgb="FFFFFFFF"/>
      </x:right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bottom style="thin">
        <x:color rgb="FFB7C9D6"/>
      </x:bottom>
    </x:border>
    <x:border>
      <x:left style="thin">
        <x:color rgb="FFFFFFFF"/>
      </x:left>
      <x:bottom style="thin">
        <x:color rgb="FFB7C9D6"/>
      </x:bottom>
    </x:border>
    <x:border>
      <x:bottom style="thin">
        <x:color rgb="FFB7C9D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top"/>
    </x:xf>
    <x:xf numFmtId="201" fontId="2" fillId="3" borderId="0" xfId="0" applyNumberFormat="1" applyFont="1" applyFill="1" applyBorder="1" applyAlignment="1">
      <x:alignment vertical="top" wrapText="1"/>
    </x:xf>
    <x:xf numFmtId="201" fontId="2" fillId="3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4" borderId="5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 wrapText="1"/>
    </x:xf>
    <x:xf numFmtId="201" fontId="2" fillId="4" borderId="5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e2a6d91c94c57" /><Relationship Type="http://schemas.openxmlformats.org/officeDocument/2006/relationships/theme" Target="/xl/theme/theme1.xml" Id="R7fb0029d9af64850" /><Relationship Type="http://schemas.openxmlformats.org/officeDocument/2006/relationships/sharedStrings" Target="/xl/sharedStrings.xml" Id="R4aebddbbb9e242ad" /><Relationship Type="http://schemas.openxmlformats.org/officeDocument/2006/relationships/worksheet" Target="/xl/worksheets/sheet1.xml" Id="Ra31487688656450d" /><Relationship Type="http://schemas.openxmlformats.org/officeDocument/2006/relationships/worksheet" Target="/xl/worksheets/sheet2.xml" Id="Rc4f1d9e3a7b94f4d" /><Relationship Type="http://schemas.openxmlformats.org/officeDocument/2006/relationships/worksheet" Target="/xl/worksheets/sheet3.xml" Id="Re23bc380fba74c27" /><Relationship Type="http://schemas.openxmlformats.org/officeDocument/2006/relationships/worksheet" Target="/xl/worksheets/sheet4.xml" Id="R2582591a20d948f7" /><Relationship Type="http://schemas.openxmlformats.org/officeDocument/2006/relationships/worksheet" Target="/xl/worksheets/sheet5.xml" Id="R64c01a97201c48df" /><Relationship Type="http://schemas.openxmlformats.org/officeDocument/2006/relationships/worksheet" Target="/xl/worksheets/sheet6.xml" Id="R50283e66d5794ab2" /><Relationship Type="http://schemas.openxmlformats.org/officeDocument/2006/relationships/worksheet" Target="/xl/worksheets/sheet7.xml" Id="R7358c366a2f543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1" hidden="0" customWidth="1"/>
    <x:col min="4" max="4" width="13" hidden="0" customWidth="1"/>
    <x:col min="5" max="5" width="16" hidden="0" customWidth="1"/>
    <x:col min="6" max="6" width="12" hidden="0" customWidth="1"/>
    <x:col min="7" max="7" width="24" hidden="0" customWidth="1"/>
    <x:col min="8" max="8" width="25" hidden="0" customWidth="1"/>
    <x:col min="9" max="9" width="14" hidden="0" customWidth="1"/>
    <x:col min="10" max="10" width="24" hidden="0" customWidth="1"/>
    <x:col min="11" max="11" width="15" hidden="0" customWidth="1"/>
    <x:col min="12" max="12" width="21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tr">
        <x:v>AI use-case portfolio dashboard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>
      <x:c r="A5" s="37" t="str">
        <x:v>Institution / system</x:v>
      </x:c>
      <x:c r="B5" s="22"/>
      <x:c r="C5" s="4"/>
      <x:c r="D5" s="18" t="str">
        <x:v>Portfolio measure</x:v>
      </x:c>
      <x:c r="E5" s="20" t="str">
        <x:v>Count</x:v>
      </x:c>
      <x:c r="F5" s="4"/>
      <x:c r="G5" s="4"/>
      <x:c r="H5" s="4"/>
      <x:c r="I5" s="4"/>
      <x:c r="J5" s="4"/>
      <x:c r="K5" s="4"/>
      <x:c r="L5" s="4"/>
    </x:row>
    <x:row r="6">
      <x:c r="A6" s="37" t="str">
        <x:v>Assessment date</x:v>
      </x:c>
      <x:c r="B6" s="34"/>
      <x:c r="C6" s="4"/>
      <x:c r="D6" s="4" t="str">
        <x:v>Registered</x:v>
      </x:c>
      <x:c r="E6" s="28" t="n">
        <x:f>COUNTIF('Use Case Register'!A5:A34,"?*")</x:f>
        <x:v>0</x:v>
      </x:c>
      <x:c r="F6" s="4"/>
      <x:c r="G6" s="4"/>
      <x:c r="H6" s="4"/>
      <x:c r="I6" s="4"/>
      <x:c r="J6" s="4"/>
      <x:c r="K6" s="4"/>
      <x:c r="L6" s="4"/>
    </x:row>
    <x:row r="7">
      <x:c r="A7" s="37" t="str">
        <x:v>Portfolio lead</x:v>
      </x:c>
      <x:c r="B7" s="22"/>
      <x:c r="C7" s="4"/>
      <x:c r="D7" s="4" t="str">
        <x:v>Screening complete</x:v>
      </x:c>
      <x:c r="E7" s="28" t="n">
        <x:f>COUNT(Screening!V5:V34)</x:f>
        <x:v>0</x:v>
      </x:c>
      <x:c r="F7" s="4"/>
      <x:c r="G7" s="4"/>
      <x:c r="H7" s="4"/>
      <x:c r="I7" s="4"/>
      <x:c r="J7" s="4"/>
      <x:c r="K7" s="4"/>
      <x:c r="L7" s="4"/>
    </x:row>
    <x:row r="8">
      <x:c r="A8" s="37" t="str">
        <x:v>Approval body</x:v>
      </x:c>
      <x:c r="B8" s="22"/>
      <x:c r="C8" s="4"/>
      <x:c r="D8" s="4" t="str">
        <x:v>Candidate for gate review</x:v>
      </x:c>
      <x:c r="E8" s="28" t="n">
        <x:f>COUNTIF(Screening!W5:W34,"Candidate for gate review")</x:f>
        <x:v>0</x:v>
      </x:c>
      <x:c r="F8" s="4"/>
      <x:c r="G8" s="4"/>
      <x:c r="H8" s="4"/>
      <x:c r="I8" s="4"/>
      <x:c r="J8" s="4"/>
      <x:c r="K8" s="4"/>
      <x:c r="L8" s="4"/>
    </x:row>
    <x:row r="9">
      <x:c r="A9" s="37" t="str">
        <x:v>Review cycle</x:v>
      </x:c>
      <x:c r="B9" s="22"/>
      <x:c r="C9" s="4"/>
      <x:c r="D9" s="4" t="str">
        <x:v>Gates cleared</x:v>
      </x:c>
      <x:c r="E9" s="28" t="n">
        <x:f>COUNTIF('Readiness Gates'!L5:L34,"Proceed to controlled experiment")</x:f>
        <x:v>0</x:v>
      </x:c>
      <x:c r="F9" s="4"/>
      <x:c r="G9" s="4"/>
      <x:c r="H9" s="4"/>
      <x:c r="I9" s="4"/>
      <x:c r="J9" s="4"/>
      <x:c r="K9" s="4"/>
      <x:c r="L9" s="4"/>
    </x:row>
    <x:row r="10">
      <x:c r="A10" s="4"/>
      <x:c r="B10" s="4"/>
      <x:c r="C10" s="4"/>
      <x:c r="D10" s="4" t="str">
        <x:v>Conditional gate clearance</x:v>
      </x:c>
      <x:c r="E10" s="28" t="n">
        <x:f>COUNTIF('Readiness Gates'!L5:L34,"Proceed conditionally")</x:f>
        <x:v>0</x:v>
      </x:c>
      <x:c r="F10" s="4"/>
      <x:c r="G10" s="4"/>
      <x:c r="H10" s="4"/>
      <x:c r="I10" s="4"/>
      <x:c r="J10" s="4"/>
      <x:c r="K10" s="4"/>
      <x:c r="L10" s="4"/>
    </x:row>
    <x:row r="11">
      <x:c r="A11" s="4"/>
      <x:c r="B11" s="4"/>
      <x:c r="C11" s="4"/>
      <x:c r="D11" s="4" t="str">
        <x:v>Stopped by gates</x:v>
      </x:c>
      <x:c r="E11" s="28" t="n">
        <x:f>COUNTIF('Readiness Gates'!L5:L34,"Do not proceed")</x:f>
        <x:v>0</x:v>
      </x:c>
      <x:c r="F11" s="4"/>
      <x:c r="G11" s="4"/>
      <x:c r="H11" s="4"/>
      <x:c r="I11" s="4"/>
      <x:c r="J11" s="4"/>
      <x:c r="K11" s="4"/>
      <x:c r="L11" s="4"/>
    </x:row>
    <x:row r="12">
      <x:c r="A12" s="4"/>
      <x:c r="B12" s="4"/>
      <x:c r="C12" s="4"/>
      <x:c r="D12" s="38" t="str">
        <x:v>Approved / conditionally approved</x:v>
      </x:c>
      <x:c r="E12" s="39" t="n">
        <x:f>COUNTIF('Pilot Portfolio'!L5:L34,"Approve*")</x:f>
        <x:v>0</x:v>
      </x:c>
      <x:c r="F12" s="4"/>
      <x:c r="G12" s="4"/>
      <x:c r="H12" s="4"/>
      <x:c r="I12" s="4"/>
      <x:c r="J12" s="4"/>
      <x:c r="K12" s="4"/>
      <x:c r="L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34" customHeight="1">
      <x:c r="A14" s="18" t="str">
        <x:v>Use case ID</x:v>
      </x:c>
      <x:c r="B14" s="19" t="str">
        <x:v>Title</x:v>
      </x:c>
      <x:c r="C14" s="19" t="str">
        <x:v>Value</x:v>
      </x:c>
      <x:c r="D14" s="19" t="str">
        <x:v>Feasibility</x:v>
      </x:c>
      <x:c r="E14" s="19" t="str">
        <x:v>Risk class</x:v>
      </x:c>
      <x:c r="F14" s="19" t="str">
        <x:v>Priority</x:v>
      </x:c>
      <x:c r="G14" s="19" t="str">
        <x:v>Gate decision</x:v>
      </x:c>
      <x:c r="H14" s="19" t="str">
        <x:v>Suggested treatment</x:v>
      </x:c>
      <x:c r="I14" s="19" t="str">
        <x:v>Wave</x:v>
      </x:c>
      <x:c r="J14" s="19" t="str">
        <x:v>Final decision</x:v>
      </x:c>
      <x:c r="K14" s="19" t="str">
        <x:v>Review date</x:v>
      </x:c>
      <x:c r="L14" s="20" t="str">
        <x:v>Owner</x:v>
      </x:c>
    </x:row>
    <x:row r="15" ht="34" customHeight="1">
      <x:c r="A15" s="30" t="str">
        <x:f>IF('Pilot Portfolio'!A5="","",'Pilot Portfolio'!A5)</x:f>
      </x:c>
      <x:c r="B15" s="30" t="str">
        <x:f>IF('Pilot Portfolio'!B5="","",'Pilot Portfolio'!B5)</x:f>
      </x:c>
      <x:c r="C15" s="31" t="str">
        <x:f>IF('Pilot Portfolio'!C5="","",'Pilot Portfolio'!C5)</x:f>
      </x:c>
      <x:c r="D15" s="31" t="str">
        <x:f>IF('Pilot Portfolio'!D5="","",'Pilot Portfolio'!D5)</x:f>
      </x:c>
      <x:c r="E15" s="30" t="str">
        <x:f>IF('Pilot Portfolio'!E5="","",'Pilot Portfolio'!E5)</x:f>
      </x:c>
      <x:c r="F15" s="31" t="str">
        <x:f>IF('Pilot Portfolio'!F5="","",'Pilot Portfolio'!F5)</x:f>
      </x:c>
      <x:c r="G15" s="30" t="str">
        <x:f>IF('Pilot Portfolio'!G5="","",'Pilot Portfolio'!G5)</x:f>
      </x:c>
      <x:c r="H15" s="30" t="str">
        <x:f>IF('Pilot Portfolio'!H5="","",'Pilot Portfolio'!H5)</x:f>
      </x:c>
      <x:c r="I15" s="30" t="str">
        <x:f>IF('Pilot Portfolio'!I5="","",'Pilot Portfolio'!I5)</x:f>
      </x:c>
      <x:c r="J15" s="30" t="str">
        <x:f>IF('Pilot Portfolio'!L5="","",'Pilot Portfolio'!L5)</x:f>
      </x:c>
      <x:c r="K15" s="41" t="str">
        <x:f>IF('Pilot Portfolio'!N5="","",'Pilot Portfolio'!N5)</x:f>
      </x:c>
      <x:c r="L15" s="30" t="str">
        <x:f>IF('Pilot Portfolio'!K5="","",'Pilot Portfolio'!K5)</x:f>
      </x:c>
    </x:row>
    <x:row r="16" ht="34" customHeight="1">
      <x:c r="A16" s="30" t="str">
        <x:f>IF('Pilot Portfolio'!A6="","",'Pilot Portfolio'!A6)</x:f>
      </x:c>
      <x:c r="B16" s="30" t="str">
        <x:f>IF('Pilot Portfolio'!B6="","",'Pilot Portfolio'!B6)</x:f>
      </x:c>
      <x:c r="C16" s="31" t="str">
        <x:f>IF('Pilot Portfolio'!C6="","",'Pilot Portfolio'!C6)</x:f>
      </x:c>
      <x:c r="D16" s="31" t="str">
        <x:f>IF('Pilot Portfolio'!D6="","",'Pilot Portfolio'!D6)</x:f>
      </x:c>
      <x:c r="E16" s="30" t="str">
        <x:f>IF('Pilot Portfolio'!E6="","",'Pilot Portfolio'!E6)</x:f>
      </x:c>
      <x:c r="F16" s="31" t="str">
        <x:f>IF('Pilot Portfolio'!F6="","",'Pilot Portfolio'!F6)</x:f>
      </x:c>
      <x:c r="G16" s="30" t="str">
        <x:f>IF('Pilot Portfolio'!G6="","",'Pilot Portfolio'!G6)</x:f>
      </x:c>
      <x:c r="H16" s="30" t="str">
        <x:f>IF('Pilot Portfolio'!H6="","",'Pilot Portfolio'!H6)</x:f>
      </x:c>
      <x:c r="I16" s="30" t="str">
        <x:f>IF('Pilot Portfolio'!I6="","",'Pilot Portfolio'!I6)</x:f>
      </x:c>
      <x:c r="J16" s="30" t="str">
        <x:f>IF('Pilot Portfolio'!L6="","",'Pilot Portfolio'!L6)</x:f>
      </x:c>
      <x:c r="K16" s="41" t="str">
        <x:f>IF('Pilot Portfolio'!N6="","",'Pilot Portfolio'!N6)</x:f>
      </x:c>
      <x:c r="L16" s="30" t="str">
        <x:f>IF('Pilot Portfolio'!K6="","",'Pilot Portfolio'!K6)</x:f>
      </x:c>
    </x:row>
    <x:row r="17" ht="34" customHeight="1">
      <x:c r="A17" s="30" t="str">
        <x:f>IF('Pilot Portfolio'!A7="","",'Pilot Portfolio'!A7)</x:f>
      </x:c>
      <x:c r="B17" s="30" t="str">
        <x:f>IF('Pilot Portfolio'!B7="","",'Pilot Portfolio'!B7)</x:f>
      </x:c>
      <x:c r="C17" s="31" t="str">
        <x:f>IF('Pilot Portfolio'!C7="","",'Pilot Portfolio'!C7)</x:f>
      </x:c>
      <x:c r="D17" s="31" t="str">
        <x:f>IF('Pilot Portfolio'!D7="","",'Pilot Portfolio'!D7)</x:f>
      </x:c>
      <x:c r="E17" s="30" t="str">
        <x:f>IF('Pilot Portfolio'!E7="","",'Pilot Portfolio'!E7)</x:f>
      </x:c>
      <x:c r="F17" s="31" t="str">
        <x:f>IF('Pilot Portfolio'!F7="","",'Pilot Portfolio'!F7)</x:f>
      </x:c>
      <x:c r="G17" s="30" t="str">
        <x:f>IF('Pilot Portfolio'!G7="","",'Pilot Portfolio'!G7)</x:f>
      </x:c>
      <x:c r="H17" s="30" t="str">
        <x:f>IF('Pilot Portfolio'!H7="","",'Pilot Portfolio'!H7)</x:f>
      </x:c>
      <x:c r="I17" s="30" t="str">
        <x:f>IF('Pilot Portfolio'!I7="","",'Pilot Portfolio'!I7)</x:f>
      </x:c>
      <x:c r="J17" s="30" t="str">
        <x:f>IF('Pilot Portfolio'!L7="","",'Pilot Portfolio'!L7)</x:f>
      </x:c>
      <x:c r="K17" s="41" t="str">
        <x:f>IF('Pilot Portfolio'!N7="","",'Pilot Portfolio'!N7)</x:f>
      </x:c>
      <x:c r="L17" s="30" t="str">
        <x:f>IF('Pilot Portfolio'!K7="","",'Pilot Portfolio'!K7)</x:f>
      </x:c>
    </x:row>
    <x:row r="18" ht="34" customHeight="1">
      <x:c r="A18" s="30" t="str">
        <x:f>IF('Pilot Portfolio'!A8="","",'Pilot Portfolio'!A8)</x:f>
      </x:c>
      <x:c r="B18" s="30" t="str">
        <x:f>IF('Pilot Portfolio'!B8="","",'Pilot Portfolio'!B8)</x:f>
      </x:c>
      <x:c r="C18" s="31" t="str">
        <x:f>IF('Pilot Portfolio'!C8="","",'Pilot Portfolio'!C8)</x:f>
      </x:c>
      <x:c r="D18" s="31" t="str">
        <x:f>IF('Pilot Portfolio'!D8="","",'Pilot Portfolio'!D8)</x:f>
      </x:c>
      <x:c r="E18" s="30" t="str">
        <x:f>IF('Pilot Portfolio'!E8="","",'Pilot Portfolio'!E8)</x:f>
      </x:c>
      <x:c r="F18" s="31" t="str">
        <x:f>IF('Pilot Portfolio'!F8="","",'Pilot Portfolio'!F8)</x:f>
      </x:c>
      <x:c r="G18" s="30" t="str">
        <x:f>IF('Pilot Portfolio'!G8="","",'Pilot Portfolio'!G8)</x:f>
      </x:c>
      <x:c r="H18" s="30" t="str">
        <x:f>IF('Pilot Portfolio'!H8="","",'Pilot Portfolio'!H8)</x:f>
      </x:c>
      <x:c r="I18" s="30" t="str">
        <x:f>IF('Pilot Portfolio'!I8="","",'Pilot Portfolio'!I8)</x:f>
      </x:c>
      <x:c r="J18" s="30" t="str">
        <x:f>IF('Pilot Portfolio'!L8="","",'Pilot Portfolio'!L8)</x:f>
      </x:c>
      <x:c r="K18" s="41" t="str">
        <x:f>IF('Pilot Portfolio'!N8="","",'Pilot Portfolio'!N8)</x:f>
      </x:c>
      <x:c r="L18" s="30" t="str">
        <x:f>IF('Pilot Portfolio'!K8="","",'Pilot Portfolio'!K8)</x:f>
      </x:c>
    </x:row>
    <x:row r="19" ht="34" customHeight="1">
      <x:c r="A19" s="30" t="str">
        <x:f>IF('Pilot Portfolio'!A9="","",'Pilot Portfolio'!A9)</x:f>
      </x:c>
      <x:c r="B19" s="30" t="str">
        <x:f>IF('Pilot Portfolio'!B9="","",'Pilot Portfolio'!B9)</x:f>
      </x:c>
      <x:c r="C19" s="31" t="str">
        <x:f>IF('Pilot Portfolio'!C9="","",'Pilot Portfolio'!C9)</x:f>
      </x:c>
      <x:c r="D19" s="31" t="str">
        <x:f>IF('Pilot Portfolio'!D9="","",'Pilot Portfolio'!D9)</x:f>
      </x:c>
      <x:c r="E19" s="30" t="str">
        <x:f>IF('Pilot Portfolio'!E9="","",'Pilot Portfolio'!E9)</x:f>
      </x:c>
      <x:c r="F19" s="31" t="str">
        <x:f>IF('Pilot Portfolio'!F9="","",'Pilot Portfolio'!F9)</x:f>
      </x:c>
      <x:c r="G19" s="30" t="str">
        <x:f>IF('Pilot Portfolio'!G9="","",'Pilot Portfolio'!G9)</x:f>
      </x:c>
      <x:c r="H19" s="30" t="str">
        <x:f>IF('Pilot Portfolio'!H9="","",'Pilot Portfolio'!H9)</x:f>
      </x:c>
      <x:c r="I19" s="30" t="str">
        <x:f>IF('Pilot Portfolio'!I9="","",'Pilot Portfolio'!I9)</x:f>
      </x:c>
      <x:c r="J19" s="30" t="str">
        <x:f>IF('Pilot Portfolio'!L9="","",'Pilot Portfolio'!L9)</x:f>
      </x:c>
      <x:c r="K19" s="41" t="str">
        <x:f>IF('Pilot Portfolio'!N9="","",'Pilot Portfolio'!N9)</x:f>
      </x:c>
      <x:c r="L19" s="30" t="str">
        <x:f>IF('Pilot Portfolio'!K9="","",'Pilot Portfolio'!K9)</x:f>
      </x:c>
    </x:row>
    <x:row r="20" ht="34" customHeight="1">
      <x:c r="A20" s="30" t="str">
        <x:f>IF('Pilot Portfolio'!A10="","",'Pilot Portfolio'!A10)</x:f>
      </x:c>
      <x:c r="B20" s="30" t="str">
        <x:f>IF('Pilot Portfolio'!B10="","",'Pilot Portfolio'!B10)</x:f>
      </x:c>
      <x:c r="C20" s="31" t="str">
        <x:f>IF('Pilot Portfolio'!C10="","",'Pilot Portfolio'!C10)</x:f>
      </x:c>
      <x:c r="D20" s="31" t="str">
        <x:f>IF('Pilot Portfolio'!D10="","",'Pilot Portfolio'!D10)</x:f>
      </x:c>
      <x:c r="E20" s="30" t="str">
        <x:f>IF('Pilot Portfolio'!E10="","",'Pilot Portfolio'!E10)</x:f>
      </x:c>
      <x:c r="F20" s="31" t="str">
        <x:f>IF('Pilot Portfolio'!F10="","",'Pilot Portfolio'!F10)</x:f>
      </x:c>
      <x:c r="G20" s="30" t="str">
        <x:f>IF('Pilot Portfolio'!G10="","",'Pilot Portfolio'!G10)</x:f>
      </x:c>
      <x:c r="H20" s="30" t="str">
        <x:f>IF('Pilot Portfolio'!H10="","",'Pilot Portfolio'!H10)</x:f>
      </x:c>
      <x:c r="I20" s="30" t="str">
        <x:f>IF('Pilot Portfolio'!I10="","",'Pilot Portfolio'!I10)</x:f>
      </x:c>
      <x:c r="J20" s="30" t="str">
        <x:f>IF('Pilot Portfolio'!L10="","",'Pilot Portfolio'!L10)</x:f>
      </x:c>
      <x:c r="K20" s="41" t="str">
        <x:f>IF('Pilot Portfolio'!N10="","",'Pilot Portfolio'!N10)</x:f>
      </x:c>
      <x:c r="L20" s="30" t="str">
        <x:f>IF('Pilot Portfolio'!K10="","",'Pilot Portfolio'!K10)</x:f>
      </x:c>
    </x:row>
    <x:row r="21" ht="34" customHeight="1">
      <x:c r="A21" s="30" t="str">
        <x:f>IF('Pilot Portfolio'!A11="","",'Pilot Portfolio'!A11)</x:f>
      </x:c>
      <x:c r="B21" s="30" t="str">
        <x:f>IF('Pilot Portfolio'!B11="","",'Pilot Portfolio'!B11)</x:f>
      </x:c>
      <x:c r="C21" s="31" t="str">
        <x:f>IF('Pilot Portfolio'!C11="","",'Pilot Portfolio'!C11)</x:f>
      </x:c>
      <x:c r="D21" s="31" t="str">
        <x:f>IF('Pilot Portfolio'!D11="","",'Pilot Portfolio'!D11)</x:f>
      </x:c>
      <x:c r="E21" s="30" t="str">
        <x:f>IF('Pilot Portfolio'!E11="","",'Pilot Portfolio'!E11)</x:f>
      </x:c>
      <x:c r="F21" s="31" t="str">
        <x:f>IF('Pilot Portfolio'!F11="","",'Pilot Portfolio'!F11)</x:f>
      </x:c>
      <x:c r="G21" s="30" t="str">
        <x:f>IF('Pilot Portfolio'!G11="","",'Pilot Portfolio'!G11)</x:f>
      </x:c>
      <x:c r="H21" s="30" t="str">
        <x:f>IF('Pilot Portfolio'!H11="","",'Pilot Portfolio'!H11)</x:f>
      </x:c>
      <x:c r="I21" s="30" t="str">
        <x:f>IF('Pilot Portfolio'!I11="","",'Pilot Portfolio'!I11)</x:f>
      </x:c>
      <x:c r="J21" s="30" t="str">
        <x:f>IF('Pilot Portfolio'!L11="","",'Pilot Portfolio'!L11)</x:f>
      </x:c>
      <x:c r="K21" s="41" t="str">
        <x:f>IF('Pilot Portfolio'!N11="","",'Pilot Portfolio'!N11)</x:f>
      </x:c>
      <x:c r="L21" s="30" t="str">
        <x:f>IF('Pilot Portfolio'!K11="","",'Pilot Portfolio'!K11)</x:f>
      </x:c>
    </x:row>
    <x:row r="22" ht="34" customHeight="1">
      <x:c r="A22" s="30" t="str">
        <x:f>IF('Pilot Portfolio'!A12="","",'Pilot Portfolio'!A12)</x:f>
      </x:c>
      <x:c r="B22" s="30" t="str">
        <x:f>IF('Pilot Portfolio'!B12="","",'Pilot Portfolio'!B12)</x:f>
      </x:c>
      <x:c r="C22" s="31" t="str">
        <x:f>IF('Pilot Portfolio'!C12="","",'Pilot Portfolio'!C12)</x:f>
      </x:c>
      <x:c r="D22" s="31" t="str">
        <x:f>IF('Pilot Portfolio'!D12="","",'Pilot Portfolio'!D12)</x:f>
      </x:c>
      <x:c r="E22" s="30" t="str">
        <x:f>IF('Pilot Portfolio'!E12="","",'Pilot Portfolio'!E12)</x:f>
      </x:c>
      <x:c r="F22" s="31" t="str">
        <x:f>IF('Pilot Portfolio'!F12="","",'Pilot Portfolio'!F12)</x:f>
      </x:c>
      <x:c r="G22" s="30" t="str">
        <x:f>IF('Pilot Portfolio'!G12="","",'Pilot Portfolio'!G12)</x:f>
      </x:c>
      <x:c r="H22" s="30" t="str">
        <x:f>IF('Pilot Portfolio'!H12="","",'Pilot Portfolio'!H12)</x:f>
      </x:c>
      <x:c r="I22" s="30" t="str">
        <x:f>IF('Pilot Portfolio'!I12="","",'Pilot Portfolio'!I12)</x:f>
      </x:c>
      <x:c r="J22" s="30" t="str">
        <x:f>IF('Pilot Portfolio'!L12="","",'Pilot Portfolio'!L12)</x:f>
      </x:c>
      <x:c r="K22" s="41" t="str">
        <x:f>IF('Pilot Portfolio'!N12="","",'Pilot Portfolio'!N12)</x:f>
      </x:c>
      <x:c r="L22" s="30" t="str">
        <x:f>IF('Pilot Portfolio'!K12="","",'Pilot Portfolio'!K12)</x:f>
      </x:c>
    </x:row>
    <x:row r="23" ht="34" customHeight="1">
      <x:c r="A23" s="30" t="str">
        <x:f>IF('Pilot Portfolio'!A13="","",'Pilot Portfolio'!A13)</x:f>
      </x:c>
      <x:c r="B23" s="30" t="str">
        <x:f>IF('Pilot Portfolio'!B13="","",'Pilot Portfolio'!B13)</x:f>
      </x:c>
      <x:c r="C23" s="31" t="str">
        <x:f>IF('Pilot Portfolio'!C13="","",'Pilot Portfolio'!C13)</x:f>
      </x:c>
      <x:c r="D23" s="31" t="str">
        <x:f>IF('Pilot Portfolio'!D13="","",'Pilot Portfolio'!D13)</x:f>
      </x:c>
      <x:c r="E23" s="30" t="str">
        <x:f>IF('Pilot Portfolio'!E13="","",'Pilot Portfolio'!E13)</x:f>
      </x:c>
      <x:c r="F23" s="31" t="str">
        <x:f>IF('Pilot Portfolio'!F13="","",'Pilot Portfolio'!F13)</x:f>
      </x:c>
      <x:c r="G23" s="30" t="str">
        <x:f>IF('Pilot Portfolio'!G13="","",'Pilot Portfolio'!G13)</x:f>
      </x:c>
      <x:c r="H23" s="30" t="str">
        <x:f>IF('Pilot Portfolio'!H13="","",'Pilot Portfolio'!H13)</x:f>
      </x:c>
      <x:c r="I23" s="30" t="str">
        <x:f>IF('Pilot Portfolio'!I13="","",'Pilot Portfolio'!I13)</x:f>
      </x:c>
      <x:c r="J23" s="30" t="str">
        <x:f>IF('Pilot Portfolio'!L13="","",'Pilot Portfolio'!L13)</x:f>
      </x:c>
      <x:c r="K23" s="41" t="str">
        <x:f>IF('Pilot Portfolio'!N13="","",'Pilot Portfolio'!N13)</x:f>
      </x:c>
      <x:c r="L23" s="30" t="str">
        <x:f>IF('Pilot Portfolio'!K13="","",'Pilot Portfolio'!K13)</x:f>
      </x:c>
    </x:row>
    <x:row r="24" ht="34" customHeight="1">
      <x:c r="A24" s="30" t="str">
        <x:f>IF('Pilot Portfolio'!A14="","",'Pilot Portfolio'!A14)</x:f>
      </x:c>
      <x:c r="B24" s="30" t="str">
        <x:f>IF('Pilot Portfolio'!B14="","",'Pilot Portfolio'!B14)</x:f>
      </x:c>
      <x:c r="C24" s="31" t="str">
        <x:f>IF('Pilot Portfolio'!C14="","",'Pilot Portfolio'!C14)</x:f>
      </x:c>
      <x:c r="D24" s="31" t="str">
        <x:f>IF('Pilot Portfolio'!D14="","",'Pilot Portfolio'!D14)</x:f>
      </x:c>
      <x:c r="E24" s="30" t="str">
        <x:f>IF('Pilot Portfolio'!E14="","",'Pilot Portfolio'!E14)</x:f>
      </x:c>
      <x:c r="F24" s="31" t="str">
        <x:f>IF('Pilot Portfolio'!F14="","",'Pilot Portfolio'!F14)</x:f>
      </x:c>
      <x:c r="G24" s="30" t="str">
        <x:f>IF('Pilot Portfolio'!G14="","",'Pilot Portfolio'!G14)</x:f>
      </x:c>
      <x:c r="H24" s="30" t="str">
        <x:f>IF('Pilot Portfolio'!H14="","",'Pilot Portfolio'!H14)</x:f>
      </x:c>
      <x:c r="I24" s="30" t="str">
        <x:f>IF('Pilot Portfolio'!I14="","",'Pilot Portfolio'!I14)</x:f>
      </x:c>
      <x:c r="J24" s="30" t="str">
        <x:f>IF('Pilot Portfolio'!L14="","",'Pilot Portfolio'!L14)</x:f>
      </x:c>
      <x:c r="K24" s="41" t="str">
        <x:f>IF('Pilot Portfolio'!N14="","",'Pilot Portfolio'!N14)</x:f>
      </x:c>
      <x:c r="L24" s="30" t="str">
        <x:f>IF('Pilot Portfolio'!K14="","",'Pilot Portfolio'!K14)</x:f>
      </x:c>
    </x:row>
    <x:row r="25" ht="34" customHeight="1">
      <x:c r="A25" s="30" t="str">
        <x:f>IF('Pilot Portfolio'!A15="","",'Pilot Portfolio'!A15)</x:f>
      </x:c>
      <x:c r="B25" s="30" t="str">
        <x:f>IF('Pilot Portfolio'!B15="","",'Pilot Portfolio'!B15)</x:f>
      </x:c>
      <x:c r="C25" s="31" t="str">
        <x:f>IF('Pilot Portfolio'!C15="","",'Pilot Portfolio'!C15)</x:f>
      </x:c>
      <x:c r="D25" s="31" t="str">
        <x:f>IF('Pilot Portfolio'!D15="","",'Pilot Portfolio'!D15)</x:f>
      </x:c>
      <x:c r="E25" s="30" t="str">
        <x:f>IF('Pilot Portfolio'!E15="","",'Pilot Portfolio'!E15)</x:f>
      </x:c>
      <x:c r="F25" s="31" t="str">
        <x:f>IF('Pilot Portfolio'!F15="","",'Pilot Portfolio'!F15)</x:f>
      </x:c>
      <x:c r="G25" s="30" t="str">
        <x:f>IF('Pilot Portfolio'!G15="","",'Pilot Portfolio'!G15)</x:f>
      </x:c>
      <x:c r="H25" s="30" t="str">
        <x:f>IF('Pilot Portfolio'!H15="","",'Pilot Portfolio'!H15)</x:f>
      </x:c>
      <x:c r="I25" s="30" t="str">
        <x:f>IF('Pilot Portfolio'!I15="","",'Pilot Portfolio'!I15)</x:f>
      </x:c>
      <x:c r="J25" s="30" t="str">
        <x:f>IF('Pilot Portfolio'!L15="","",'Pilot Portfolio'!L15)</x:f>
      </x:c>
      <x:c r="K25" s="41" t="str">
        <x:f>IF('Pilot Portfolio'!N15="","",'Pilot Portfolio'!N15)</x:f>
      </x:c>
      <x:c r="L25" s="30" t="str">
        <x:f>IF('Pilot Portfolio'!K15="","",'Pilot Portfolio'!K15)</x:f>
      </x:c>
    </x:row>
    <x:row r="26" ht="34" customHeight="1">
      <x:c r="A26" s="30" t="str">
        <x:f>IF('Pilot Portfolio'!A16="","",'Pilot Portfolio'!A16)</x:f>
      </x:c>
      <x:c r="B26" s="30" t="str">
        <x:f>IF('Pilot Portfolio'!B16="","",'Pilot Portfolio'!B16)</x:f>
      </x:c>
      <x:c r="C26" s="31" t="str">
        <x:f>IF('Pilot Portfolio'!C16="","",'Pilot Portfolio'!C16)</x:f>
      </x:c>
      <x:c r="D26" s="31" t="str">
        <x:f>IF('Pilot Portfolio'!D16="","",'Pilot Portfolio'!D16)</x:f>
      </x:c>
      <x:c r="E26" s="30" t="str">
        <x:f>IF('Pilot Portfolio'!E16="","",'Pilot Portfolio'!E16)</x:f>
      </x:c>
      <x:c r="F26" s="31" t="str">
        <x:f>IF('Pilot Portfolio'!F16="","",'Pilot Portfolio'!F16)</x:f>
      </x:c>
      <x:c r="G26" s="30" t="str">
        <x:f>IF('Pilot Portfolio'!G16="","",'Pilot Portfolio'!G16)</x:f>
      </x:c>
      <x:c r="H26" s="30" t="str">
        <x:f>IF('Pilot Portfolio'!H16="","",'Pilot Portfolio'!H16)</x:f>
      </x:c>
      <x:c r="I26" s="30" t="str">
        <x:f>IF('Pilot Portfolio'!I16="","",'Pilot Portfolio'!I16)</x:f>
      </x:c>
      <x:c r="J26" s="30" t="str">
        <x:f>IF('Pilot Portfolio'!L16="","",'Pilot Portfolio'!L16)</x:f>
      </x:c>
      <x:c r="K26" s="41" t="str">
        <x:f>IF('Pilot Portfolio'!N16="","",'Pilot Portfolio'!N16)</x:f>
      </x:c>
      <x:c r="L26" s="30" t="str">
        <x:f>IF('Pilot Portfolio'!K16="","",'Pilot Portfolio'!K16)</x:f>
      </x:c>
    </x:row>
    <x:row r="27" ht="34" customHeight="1">
      <x:c r="A27" s="30" t="str">
        <x:f>IF('Pilot Portfolio'!A17="","",'Pilot Portfolio'!A17)</x:f>
      </x:c>
      <x:c r="B27" s="30" t="str">
        <x:f>IF('Pilot Portfolio'!B17="","",'Pilot Portfolio'!B17)</x:f>
      </x:c>
      <x:c r="C27" s="31" t="str">
        <x:f>IF('Pilot Portfolio'!C17="","",'Pilot Portfolio'!C17)</x:f>
      </x:c>
      <x:c r="D27" s="31" t="str">
        <x:f>IF('Pilot Portfolio'!D17="","",'Pilot Portfolio'!D17)</x:f>
      </x:c>
      <x:c r="E27" s="30" t="str">
        <x:f>IF('Pilot Portfolio'!E17="","",'Pilot Portfolio'!E17)</x:f>
      </x:c>
      <x:c r="F27" s="31" t="str">
        <x:f>IF('Pilot Portfolio'!F17="","",'Pilot Portfolio'!F17)</x:f>
      </x:c>
      <x:c r="G27" s="30" t="str">
        <x:f>IF('Pilot Portfolio'!G17="","",'Pilot Portfolio'!G17)</x:f>
      </x:c>
      <x:c r="H27" s="30" t="str">
        <x:f>IF('Pilot Portfolio'!H17="","",'Pilot Portfolio'!H17)</x:f>
      </x:c>
      <x:c r="I27" s="30" t="str">
        <x:f>IF('Pilot Portfolio'!I17="","",'Pilot Portfolio'!I17)</x:f>
      </x:c>
      <x:c r="J27" s="30" t="str">
        <x:f>IF('Pilot Portfolio'!L17="","",'Pilot Portfolio'!L17)</x:f>
      </x:c>
      <x:c r="K27" s="41" t="str">
        <x:f>IF('Pilot Portfolio'!N17="","",'Pilot Portfolio'!N17)</x:f>
      </x:c>
      <x:c r="L27" s="30" t="str">
        <x:f>IF('Pilot Portfolio'!K17="","",'Pilot Portfolio'!K17)</x:f>
      </x:c>
    </x:row>
    <x:row r="28" ht="34" customHeight="1">
      <x:c r="A28" s="30" t="str">
        <x:f>IF('Pilot Portfolio'!A18="","",'Pilot Portfolio'!A18)</x:f>
      </x:c>
      <x:c r="B28" s="30" t="str">
        <x:f>IF('Pilot Portfolio'!B18="","",'Pilot Portfolio'!B18)</x:f>
      </x:c>
      <x:c r="C28" s="31" t="str">
        <x:f>IF('Pilot Portfolio'!C18="","",'Pilot Portfolio'!C18)</x:f>
      </x:c>
      <x:c r="D28" s="31" t="str">
        <x:f>IF('Pilot Portfolio'!D18="","",'Pilot Portfolio'!D18)</x:f>
      </x:c>
      <x:c r="E28" s="30" t="str">
        <x:f>IF('Pilot Portfolio'!E18="","",'Pilot Portfolio'!E18)</x:f>
      </x:c>
      <x:c r="F28" s="31" t="str">
        <x:f>IF('Pilot Portfolio'!F18="","",'Pilot Portfolio'!F18)</x:f>
      </x:c>
      <x:c r="G28" s="30" t="str">
        <x:f>IF('Pilot Portfolio'!G18="","",'Pilot Portfolio'!G18)</x:f>
      </x:c>
      <x:c r="H28" s="30" t="str">
        <x:f>IF('Pilot Portfolio'!H18="","",'Pilot Portfolio'!H18)</x:f>
      </x:c>
      <x:c r="I28" s="30" t="str">
        <x:f>IF('Pilot Portfolio'!I18="","",'Pilot Portfolio'!I18)</x:f>
      </x:c>
      <x:c r="J28" s="30" t="str">
        <x:f>IF('Pilot Portfolio'!L18="","",'Pilot Portfolio'!L18)</x:f>
      </x:c>
      <x:c r="K28" s="41" t="str">
        <x:f>IF('Pilot Portfolio'!N18="","",'Pilot Portfolio'!N18)</x:f>
      </x:c>
      <x:c r="L28" s="30" t="str">
        <x:f>IF('Pilot Portfolio'!K18="","",'Pilot Portfolio'!K18)</x:f>
      </x:c>
    </x:row>
    <x:row r="29" ht="34" customHeight="1">
      <x:c r="A29" s="30" t="str">
        <x:f>IF('Pilot Portfolio'!A19="","",'Pilot Portfolio'!A19)</x:f>
      </x:c>
      <x:c r="B29" s="30" t="str">
        <x:f>IF('Pilot Portfolio'!B19="","",'Pilot Portfolio'!B19)</x:f>
      </x:c>
      <x:c r="C29" s="31" t="str">
        <x:f>IF('Pilot Portfolio'!C19="","",'Pilot Portfolio'!C19)</x:f>
      </x:c>
      <x:c r="D29" s="31" t="str">
        <x:f>IF('Pilot Portfolio'!D19="","",'Pilot Portfolio'!D19)</x:f>
      </x:c>
      <x:c r="E29" s="30" t="str">
        <x:f>IF('Pilot Portfolio'!E19="","",'Pilot Portfolio'!E19)</x:f>
      </x:c>
      <x:c r="F29" s="31" t="str">
        <x:f>IF('Pilot Portfolio'!F19="","",'Pilot Portfolio'!F19)</x:f>
      </x:c>
      <x:c r="G29" s="30" t="str">
        <x:f>IF('Pilot Portfolio'!G19="","",'Pilot Portfolio'!G19)</x:f>
      </x:c>
      <x:c r="H29" s="30" t="str">
        <x:f>IF('Pilot Portfolio'!H19="","",'Pilot Portfolio'!H19)</x:f>
      </x:c>
      <x:c r="I29" s="30" t="str">
        <x:f>IF('Pilot Portfolio'!I19="","",'Pilot Portfolio'!I19)</x:f>
      </x:c>
      <x:c r="J29" s="30" t="str">
        <x:f>IF('Pilot Portfolio'!L19="","",'Pilot Portfolio'!L19)</x:f>
      </x:c>
      <x:c r="K29" s="41" t="str">
        <x:f>IF('Pilot Portfolio'!N19="","",'Pilot Portfolio'!N19)</x:f>
      </x:c>
      <x:c r="L29" s="30" t="str">
        <x:f>IF('Pilot Portfolio'!K19="","",'Pilot Portfolio'!K19)</x:f>
      </x:c>
    </x:row>
    <x:row r="30" ht="34" customHeight="1">
      <x:c r="A30" s="30" t="str">
        <x:f>IF('Pilot Portfolio'!A20="","",'Pilot Portfolio'!A20)</x:f>
      </x:c>
      <x:c r="B30" s="30" t="str">
        <x:f>IF('Pilot Portfolio'!B20="","",'Pilot Portfolio'!B20)</x:f>
      </x:c>
      <x:c r="C30" s="31" t="str">
        <x:f>IF('Pilot Portfolio'!C20="","",'Pilot Portfolio'!C20)</x:f>
      </x:c>
      <x:c r="D30" s="31" t="str">
        <x:f>IF('Pilot Portfolio'!D20="","",'Pilot Portfolio'!D20)</x:f>
      </x:c>
      <x:c r="E30" s="30" t="str">
        <x:f>IF('Pilot Portfolio'!E20="","",'Pilot Portfolio'!E20)</x:f>
      </x:c>
      <x:c r="F30" s="31" t="str">
        <x:f>IF('Pilot Portfolio'!F20="","",'Pilot Portfolio'!F20)</x:f>
      </x:c>
      <x:c r="G30" s="30" t="str">
        <x:f>IF('Pilot Portfolio'!G20="","",'Pilot Portfolio'!G20)</x:f>
      </x:c>
      <x:c r="H30" s="30" t="str">
        <x:f>IF('Pilot Portfolio'!H20="","",'Pilot Portfolio'!H20)</x:f>
      </x:c>
      <x:c r="I30" s="30" t="str">
        <x:f>IF('Pilot Portfolio'!I20="","",'Pilot Portfolio'!I20)</x:f>
      </x:c>
      <x:c r="J30" s="30" t="str">
        <x:f>IF('Pilot Portfolio'!L20="","",'Pilot Portfolio'!L20)</x:f>
      </x:c>
      <x:c r="K30" s="41" t="str">
        <x:f>IF('Pilot Portfolio'!N20="","",'Pilot Portfolio'!N20)</x:f>
      </x:c>
      <x:c r="L30" s="30" t="str">
        <x:f>IF('Pilot Portfolio'!K20="","",'Pilot Portfolio'!K20)</x:f>
      </x:c>
    </x:row>
    <x:row r="31" ht="34" customHeight="1">
      <x:c r="A31" s="30" t="str">
        <x:f>IF('Pilot Portfolio'!A21="","",'Pilot Portfolio'!A21)</x:f>
      </x:c>
      <x:c r="B31" s="30" t="str">
        <x:f>IF('Pilot Portfolio'!B21="","",'Pilot Portfolio'!B21)</x:f>
      </x:c>
      <x:c r="C31" s="31" t="str">
        <x:f>IF('Pilot Portfolio'!C21="","",'Pilot Portfolio'!C21)</x:f>
      </x:c>
      <x:c r="D31" s="31" t="str">
        <x:f>IF('Pilot Portfolio'!D21="","",'Pilot Portfolio'!D21)</x:f>
      </x:c>
      <x:c r="E31" s="30" t="str">
        <x:f>IF('Pilot Portfolio'!E21="","",'Pilot Portfolio'!E21)</x:f>
      </x:c>
      <x:c r="F31" s="31" t="str">
        <x:f>IF('Pilot Portfolio'!F21="","",'Pilot Portfolio'!F21)</x:f>
      </x:c>
      <x:c r="G31" s="30" t="str">
        <x:f>IF('Pilot Portfolio'!G21="","",'Pilot Portfolio'!G21)</x:f>
      </x:c>
      <x:c r="H31" s="30" t="str">
        <x:f>IF('Pilot Portfolio'!H21="","",'Pilot Portfolio'!H21)</x:f>
      </x:c>
      <x:c r="I31" s="30" t="str">
        <x:f>IF('Pilot Portfolio'!I21="","",'Pilot Portfolio'!I21)</x:f>
      </x:c>
      <x:c r="J31" s="30" t="str">
        <x:f>IF('Pilot Portfolio'!L21="","",'Pilot Portfolio'!L21)</x:f>
      </x:c>
      <x:c r="K31" s="41" t="str">
        <x:f>IF('Pilot Portfolio'!N21="","",'Pilot Portfolio'!N21)</x:f>
      </x:c>
      <x:c r="L31" s="30" t="str">
        <x:f>IF('Pilot Portfolio'!K21="","",'Pilot Portfolio'!K21)</x:f>
      </x:c>
    </x:row>
    <x:row r="32" ht="34" customHeight="1">
      <x:c r="A32" s="30" t="str">
        <x:f>IF('Pilot Portfolio'!A22="","",'Pilot Portfolio'!A22)</x:f>
      </x:c>
      <x:c r="B32" s="30" t="str">
        <x:f>IF('Pilot Portfolio'!B22="","",'Pilot Portfolio'!B22)</x:f>
      </x:c>
      <x:c r="C32" s="31" t="str">
        <x:f>IF('Pilot Portfolio'!C22="","",'Pilot Portfolio'!C22)</x:f>
      </x:c>
      <x:c r="D32" s="31" t="str">
        <x:f>IF('Pilot Portfolio'!D22="","",'Pilot Portfolio'!D22)</x:f>
      </x:c>
      <x:c r="E32" s="30" t="str">
        <x:f>IF('Pilot Portfolio'!E22="","",'Pilot Portfolio'!E22)</x:f>
      </x:c>
      <x:c r="F32" s="31" t="str">
        <x:f>IF('Pilot Portfolio'!F22="","",'Pilot Portfolio'!F22)</x:f>
      </x:c>
      <x:c r="G32" s="30" t="str">
        <x:f>IF('Pilot Portfolio'!G22="","",'Pilot Portfolio'!G22)</x:f>
      </x:c>
      <x:c r="H32" s="30" t="str">
        <x:f>IF('Pilot Portfolio'!H22="","",'Pilot Portfolio'!H22)</x:f>
      </x:c>
      <x:c r="I32" s="30" t="str">
        <x:f>IF('Pilot Portfolio'!I22="","",'Pilot Portfolio'!I22)</x:f>
      </x:c>
      <x:c r="J32" s="30" t="str">
        <x:f>IF('Pilot Portfolio'!L22="","",'Pilot Portfolio'!L22)</x:f>
      </x:c>
      <x:c r="K32" s="41" t="str">
        <x:f>IF('Pilot Portfolio'!N22="","",'Pilot Portfolio'!N22)</x:f>
      </x:c>
      <x:c r="L32" s="30" t="str">
        <x:f>IF('Pilot Portfolio'!K22="","",'Pilot Portfolio'!K22)</x:f>
      </x:c>
    </x:row>
    <x:row r="33" ht="34" customHeight="1">
      <x:c r="A33" s="30" t="str">
        <x:f>IF('Pilot Portfolio'!A23="","",'Pilot Portfolio'!A23)</x:f>
      </x:c>
      <x:c r="B33" s="30" t="str">
        <x:f>IF('Pilot Portfolio'!B23="","",'Pilot Portfolio'!B23)</x:f>
      </x:c>
      <x:c r="C33" s="31" t="str">
        <x:f>IF('Pilot Portfolio'!C23="","",'Pilot Portfolio'!C23)</x:f>
      </x:c>
      <x:c r="D33" s="31" t="str">
        <x:f>IF('Pilot Portfolio'!D23="","",'Pilot Portfolio'!D23)</x:f>
      </x:c>
      <x:c r="E33" s="30" t="str">
        <x:f>IF('Pilot Portfolio'!E23="","",'Pilot Portfolio'!E23)</x:f>
      </x:c>
      <x:c r="F33" s="31" t="str">
        <x:f>IF('Pilot Portfolio'!F23="","",'Pilot Portfolio'!F23)</x:f>
      </x:c>
      <x:c r="G33" s="30" t="str">
        <x:f>IF('Pilot Portfolio'!G23="","",'Pilot Portfolio'!G23)</x:f>
      </x:c>
      <x:c r="H33" s="30" t="str">
        <x:f>IF('Pilot Portfolio'!H23="","",'Pilot Portfolio'!H23)</x:f>
      </x:c>
      <x:c r="I33" s="30" t="str">
        <x:f>IF('Pilot Portfolio'!I23="","",'Pilot Portfolio'!I23)</x:f>
      </x:c>
      <x:c r="J33" s="30" t="str">
        <x:f>IF('Pilot Portfolio'!L23="","",'Pilot Portfolio'!L23)</x:f>
      </x:c>
      <x:c r="K33" s="41" t="str">
        <x:f>IF('Pilot Portfolio'!N23="","",'Pilot Portfolio'!N23)</x:f>
      </x:c>
      <x:c r="L33" s="30" t="str">
        <x:f>IF('Pilot Portfolio'!K23="","",'Pilot Portfolio'!K23)</x:f>
      </x:c>
    </x:row>
    <x:row r="34" ht="34" customHeight="1">
      <x:c r="A34" s="30" t="str">
        <x:f>IF('Pilot Portfolio'!A24="","",'Pilot Portfolio'!A24)</x:f>
      </x:c>
      <x:c r="B34" s="30" t="str">
        <x:f>IF('Pilot Portfolio'!B24="","",'Pilot Portfolio'!B24)</x:f>
      </x:c>
      <x:c r="C34" s="31" t="str">
        <x:f>IF('Pilot Portfolio'!C24="","",'Pilot Portfolio'!C24)</x:f>
      </x:c>
      <x:c r="D34" s="31" t="str">
        <x:f>IF('Pilot Portfolio'!D24="","",'Pilot Portfolio'!D24)</x:f>
      </x:c>
      <x:c r="E34" s="30" t="str">
        <x:f>IF('Pilot Portfolio'!E24="","",'Pilot Portfolio'!E24)</x:f>
      </x:c>
      <x:c r="F34" s="31" t="str">
        <x:f>IF('Pilot Portfolio'!F24="","",'Pilot Portfolio'!F24)</x:f>
      </x:c>
      <x:c r="G34" s="30" t="str">
        <x:f>IF('Pilot Portfolio'!G24="","",'Pilot Portfolio'!G24)</x:f>
      </x:c>
      <x:c r="H34" s="30" t="str">
        <x:f>IF('Pilot Portfolio'!H24="","",'Pilot Portfolio'!H24)</x:f>
      </x:c>
      <x:c r="I34" s="30" t="str">
        <x:f>IF('Pilot Portfolio'!I24="","",'Pilot Portfolio'!I24)</x:f>
      </x:c>
      <x:c r="J34" s="30" t="str">
        <x:f>IF('Pilot Portfolio'!L24="","",'Pilot Portfolio'!L24)</x:f>
      </x:c>
      <x:c r="K34" s="41" t="str">
        <x:f>IF('Pilot Portfolio'!N24="","",'Pilot Portfolio'!N24)</x:f>
      </x:c>
      <x:c r="L34" s="30" t="str">
        <x:f>IF('Pilot Portfolio'!K24="","",'Pilot Portfolio'!K24)</x:f>
      </x:c>
    </x:row>
    <x:row r="35" ht="34" customHeight="1">
      <x:c r="A35" s="30" t="str">
        <x:f>IF('Pilot Portfolio'!A25="","",'Pilot Portfolio'!A25)</x:f>
      </x:c>
      <x:c r="B35" s="30" t="str">
        <x:f>IF('Pilot Portfolio'!B25="","",'Pilot Portfolio'!B25)</x:f>
      </x:c>
      <x:c r="C35" s="31" t="str">
        <x:f>IF('Pilot Portfolio'!C25="","",'Pilot Portfolio'!C25)</x:f>
      </x:c>
      <x:c r="D35" s="31" t="str">
        <x:f>IF('Pilot Portfolio'!D25="","",'Pilot Portfolio'!D25)</x:f>
      </x:c>
      <x:c r="E35" s="30" t="str">
        <x:f>IF('Pilot Portfolio'!E25="","",'Pilot Portfolio'!E25)</x:f>
      </x:c>
      <x:c r="F35" s="31" t="str">
        <x:f>IF('Pilot Portfolio'!F25="","",'Pilot Portfolio'!F25)</x:f>
      </x:c>
      <x:c r="G35" s="30" t="str">
        <x:f>IF('Pilot Portfolio'!G25="","",'Pilot Portfolio'!G25)</x:f>
      </x:c>
      <x:c r="H35" s="30" t="str">
        <x:f>IF('Pilot Portfolio'!H25="","",'Pilot Portfolio'!H25)</x:f>
      </x:c>
      <x:c r="I35" s="30" t="str">
        <x:f>IF('Pilot Portfolio'!I25="","",'Pilot Portfolio'!I25)</x:f>
      </x:c>
      <x:c r="J35" s="30" t="str">
        <x:f>IF('Pilot Portfolio'!L25="","",'Pilot Portfolio'!L25)</x:f>
      </x:c>
      <x:c r="K35" s="41" t="str">
        <x:f>IF('Pilot Portfolio'!N25="","",'Pilot Portfolio'!N25)</x:f>
      </x:c>
      <x:c r="L35" s="30" t="str">
        <x:f>IF('Pilot Portfolio'!K25="","",'Pilot Portfolio'!K25)</x:f>
      </x:c>
    </x:row>
    <x:row r="36" ht="34" customHeight="1">
      <x:c r="A36" s="30" t="str">
        <x:f>IF('Pilot Portfolio'!A26="","",'Pilot Portfolio'!A26)</x:f>
      </x:c>
      <x:c r="B36" s="30" t="str">
        <x:f>IF('Pilot Portfolio'!B26="","",'Pilot Portfolio'!B26)</x:f>
      </x:c>
      <x:c r="C36" s="31" t="str">
        <x:f>IF('Pilot Portfolio'!C26="","",'Pilot Portfolio'!C26)</x:f>
      </x:c>
      <x:c r="D36" s="31" t="str">
        <x:f>IF('Pilot Portfolio'!D26="","",'Pilot Portfolio'!D26)</x:f>
      </x:c>
      <x:c r="E36" s="30" t="str">
        <x:f>IF('Pilot Portfolio'!E26="","",'Pilot Portfolio'!E26)</x:f>
      </x:c>
      <x:c r="F36" s="31" t="str">
        <x:f>IF('Pilot Portfolio'!F26="","",'Pilot Portfolio'!F26)</x:f>
      </x:c>
      <x:c r="G36" s="30" t="str">
        <x:f>IF('Pilot Portfolio'!G26="","",'Pilot Portfolio'!G26)</x:f>
      </x:c>
      <x:c r="H36" s="30" t="str">
        <x:f>IF('Pilot Portfolio'!H26="","",'Pilot Portfolio'!H26)</x:f>
      </x:c>
      <x:c r="I36" s="30" t="str">
        <x:f>IF('Pilot Portfolio'!I26="","",'Pilot Portfolio'!I26)</x:f>
      </x:c>
      <x:c r="J36" s="30" t="str">
        <x:f>IF('Pilot Portfolio'!L26="","",'Pilot Portfolio'!L26)</x:f>
      </x:c>
      <x:c r="K36" s="41" t="str">
        <x:f>IF('Pilot Portfolio'!N26="","",'Pilot Portfolio'!N26)</x:f>
      </x:c>
      <x:c r="L36" s="30" t="str">
        <x:f>IF('Pilot Portfolio'!K26="","",'Pilot Portfolio'!K26)</x:f>
      </x:c>
    </x:row>
    <x:row r="37" ht="34" customHeight="1">
      <x:c r="A37" s="30" t="str">
        <x:f>IF('Pilot Portfolio'!A27="","",'Pilot Portfolio'!A27)</x:f>
      </x:c>
      <x:c r="B37" s="30" t="str">
        <x:f>IF('Pilot Portfolio'!B27="","",'Pilot Portfolio'!B27)</x:f>
      </x:c>
      <x:c r="C37" s="31" t="str">
        <x:f>IF('Pilot Portfolio'!C27="","",'Pilot Portfolio'!C27)</x:f>
      </x:c>
      <x:c r="D37" s="31" t="str">
        <x:f>IF('Pilot Portfolio'!D27="","",'Pilot Portfolio'!D27)</x:f>
      </x:c>
      <x:c r="E37" s="30" t="str">
        <x:f>IF('Pilot Portfolio'!E27="","",'Pilot Portfolio'!E27)</x:f>
      </x:c>
      <x:c r="F37" s="31" t="str">
        <x:f>IF('Pilot Portfolio'!F27="","",'Pilot Portfolio'!F27)</x:f>
      </x:c>
      <x:c r="G37" s="30" t="str">
        <x:f>IF('Pilot Portfolio'!G27="","",'Pilot Portfolio'!G27)</x:f>
      </x:c>
      <x:c r="H37" s="30" t="str">
        <x:f>IF('Pilot Portfolio'!H27="","",'Pilot Portfolio'!H27)</x:f>
      </x:c>
      <x:c r="I37" s="30" t="str">
        <x:f>IF('Pilot Portfolio'!I27="","",'Pilot Portfolio'!I27)</x:f>
      </x:c>
      <x:c r="J37" s="30" t="str">
        <x:f>IF('Pilot Portfolio'!L27="","",'Pilot Portfolio'!L27)</x:f>
      </x:c>
      <x:c r="K37" s="41" t="str">
        <x:f>IF('Pilot Portfolio'!N27="","",'Pilot Portfolio'!N27)</x:f>
      </x:c>
      <x:c r="L37" s="30" t="str">
        <x:f>IF('Pilot Portfolio'!K27="","",'Pilot Portfolio'!K27)</x:f>
      </x:c>
    </x:row>
    <x:row r="38" ht="34" customHeight="1">
      <x:c r="A38" s="30" t="str">
        <x:f>IF('Pilot Portfolio'!A28="","",'Pilot Portfolio'!A28)</x:f>
      </x:c>
      <x:c r="B38" s="30" t="str">
        <x:f>IF('Pilot Portfolio'!B28="","",'Pilot Portfolio'!B28)</x:f>
      </x:c>
      <x:c r="C38" s="31" t="str">
        <x:f>IF('Pilot Portfolio'!C28="","",'Pilot Portfolio'!C28)</x:f>
      </x:c>
      <x:c r="D38" s="31" t="str">
        <x:f>IF('Pilot Portfolio'!D28="","",'Pilot Portfolio'!D28)</x:f>
      </x:c>
      <x:c r="E38" s="30" t="str">
        <x:f>IF('Pilot Portfolio'!E28="","",'Pilot Portfolio'!E28)</x:f>
      </x:c>
      <x:c r="F38" s="31" t="str">
        <x:f>IF('Pilot Portfolio'!F28="","",'Pilot Portfolio'!F28)</x:f>
      </x:c>
      <x:c r="G38" s="30" t="str">
        <x:f>IF('Pilot Portfolio'!G28="","",'Pilot Portfolio'!G28)</x:f>
      </x:c>
      <x:c r="H38" s="30" t="str">
        <x:f>IF('Pilot Portfolio'!H28="","",'Pilot Portfolio'!H28)</x:f>
      </x:c>
      <x:c r="I38" s="30" t="str">
        <x:f>IF('Pilot Portfolio'!I28="","",'Pilot Portfolio'!I28)</x:f>
      </x:c>
      <x:c r="J38" s="30" t="str">
        <x:f>IF('Pilot Portfolio'!L28="","",'Pilot Portfolio'!L28)</x:f>
      </x:c>
      <x:c r="K38" s="41" t="str">
        <x:f>IF('Pilot Portfolio'!N28="","",'Pilot Portfolio'!N28)</x:f>
      </x:c>
      <x:c r="L38" s="30" t="str">
        <x:f>IF('Pilot Portfolio'!K28="","",'Pilot Portfolio'!K28)</x:f>
      </x:c>
    </x:row>
    <x:row r="39" ht="34" customHeight="1">
      <x:c r="A39" s="30" t="str">
        <x:f>IF('Pilot Portfolio'!A29="","",'Pilot Portfolio'!A29)</x:f>
      </x:c>
      <x:c r="B39" s="30" t="str">
        <x:f>IF('Pilot Portfolio'!B29="","",'Pilot Portfolio'!B29)</x:f>
      </x:c>
      <x:c r="C39" s="31" t="str">
        <x:f>IF('Pilot Portfolio'!C29="","",'Pilot Portfolio'!C29)</x:f>
      </x:c>
      <x:c r="D39" s="31" t="str">
        <x:f>IF('Pilot Portfolio'!D29="","",'Pilot Portfolio'!D29)</x:f>
      </x:c>
      <x:c r="E39" s="30" t="str">
        <x:f>IF('Pilot Portfolio'!E29="","",'Pilot Portfolio'!E29)</x:f>
      </x:c>
      <x:c r="F39" s="31" t="str">
        <x:f>IF('Pilot Portfolio'!F29="","",'Pilot Portfolio'!F29)</x:f>
      </x:c>
      <x:c r="G39" s="30" t="str">
        <x:f>IF('Pilot Portfolio'!G29="","",'Pilot Portfolio'!G29)</x:f>
      </x:c>
      <x:c r="H39" s="30" t="str">
        <x:f>IF('Pilot Portfolio'!H29="","",'Pilot Portfolio'!H29)</x:f>
      </x:c>
      <x:c r="I39" s="30" t="str">
        <x:f>IF('Pilot Portfolio'!I29="","",'Pilot Portfolio'!I29)</x:f>
      </x:c>
      <x:c r="J39" s="30" t="str">
        <x:f>IF('Pilot Portfolio'!L29="","",'Pilot Portfolio'!L29)</x:f>
      </x:c>
      <x:c r="K39" s="41" t="str">
        <x:f>IF('Pilot Portfolio'!N29="","",'Pilot Portfolio'!N29)</x:f>
      </x:c>
      <x:c r="L39" s="30" t="str">
        <x:f>IF('Pilot Portfolio'!K29="","",'Pilot Portfolio'!K29)</x:f>
      </x:c>
    </x:row>
    <x:row r="40" ht="34" customHeight="1">
      <x:c r="A40" s="30" t="str">
        <x:f>IF('Pilot Portfolio'!A30="","",'Pilot Portfolio'!A30)</x:f>
      </x:c>
      <x:c r="B40" s="30" t="str">
        <x:f>IF('Pilot Portfolio'!B30="","",'Pilot Portfolio'!B30)</x:f>
      </x:c>
      <x:c r="C40" s="31" t="str">
        <x:f>IF('Pilot Portfolio'!C30="","",'Pilot Portfolio'!C30)</x:f>
      </x:c>
      <x:c r="D40" s="31" t="str">
        <x:f>IF('Pilot Portfolio'!D30="","",'Pilot Portfolio'!D30)</x:f>
      </x:c>
      <x:c r="E40" s="30" t="str">
        <x:f>IF('Pilot Portfolio'!E30="","",'Pilot Portfolio'!E30)</x:f>
      </x:c>
      <x:c r="F40" s="31" t="str">
        <x:f>IF('Pilot Portfolio'!F30="","",'Pilot Portfolio'!F30)</x:f>
      </x:c>
      <x:c r="G40" s="30" t="str">
        <x:f>IF('Pilot Portfolio'!G30="","",'Pilot Portfolio'!G30)</x:f>
      </x:c>
      <x:c r="H40" s="30" t="str">
        <x:f>IF('Pilot Portfolio'!H30="","",'Pilot Portfolio'!H30)</x:f>
      </x:c>
      <x:c r="I40" s="30" t="str">
        <x:f>IF('Pilot Portfolio'!I30="","",'Pilot Portfolio'!I30)</x:f>
      </x:c>
      <x:c r="J40" s="30" t="str">
        <x:f>IF('Pilot Portfolio'!L30="","",'Pilot Portfolio'!L30)</x:f>
      </x:c>
      <x:c r="K40" s="41" t="str">
        <x:f>IF('Pilot Portfolio'!N30="","",'Pilot Portfolio'!N30)</x:f>
      </x:c>
      <x:c r="L40" s="30" t="str">
        <x:f>IF('Pilot Portfolio'!K30="","",'Pilot Portfolio'!K30)</x:f>
      </x:c>
    </x:row>
    <x:row r="41" ht="34" customHeight="1">
      <x:c r="A41" s="30" t="str">
        <x:f>IF('Pilot Portfolio'!A31="","",'Pilot Portfolio'!A31)</x:f>
      </x:c>
      <x:c r="B41" s="30" t="str">
        <x:f>IF('Pilot Portfolio'!B31="","",'Pilot Portfolio'!B31)</x:f>
      </x:c>
      <x:c r="C41" s="31" t="str">
        <x:f>IF('Pilot Portfolio'!C31="","",'Pilot Portfolio'!C31)</x:f>
      </x:c>
      <x:c r="D41" s="31" t="str">
        <x:f>IF('Pilot Portfolio'!D31="","",'Pilot Portfolio'!D31)</x:f>
      </x:c>
      <x:c r="E41" s="30" t="str">
        <x:f>IF('Pilot Portfolio'!E31="","",'Pilot Portfolio'!E31)</x:f>
      </x:c>
      <x:c r="F41" s="31" t="str">
        <x:f>IF('Pilot Portfolio'!F31="","",'Pilot Portfolio'!F31)</x:f>
      </x:c>
      <x:c r="G41" s="30" t="str">
        <x:f>IF('Pilot Portfolio'!G31="","",'Pilot Portfolio'!G31)</x:f>
      </x:c>
      <x:c r="H41" s="30" t="str">
        <x:f>IF('Pilot Portfolio'!H31="","",'Pilot Portfolio'!H31)</x:f>
      </x:c>
      <x:c r="I41" s="30" t="str">
        <x:f>IF('Pilot Portfolio'!I31="","",'Pilot Portfolio'!I31)</x:f>
      </x:c>
      <x:c r="J41" s="30" t="str">
        <x:f>IF('Pilot Portfolio'!L31="","",'Pilot Portfolio'!L31)</x:f>
      </x:c>
      <x:c r="K41" s="41" t="str">
        <x:f>IF('Pilot Portfolio'!N31="","",'Pilot Portfolio'!N31)</x:f>
      </x:c>
      <x:c r="L41" s="30" t="str">
        <x:f>IF('Pilot Portfolio'!K31="","",'Pilot Portfolio'!K31)</x:f>
      </x:c>
    </x:row>
    <x:row r="42" ht="34" customHeight="1">
      <x:c r="A42" s="30" t="str">
        <x:f>IF('Pilot Portfolio'!A32="","",'Pilot Portfolio'!A32)</x:f>
      </x:c>
      <x:c r="B42" s="30" t="str">
        <x:f>IF('Pilot Portfolio'!B32="","",'Pilot Portfolio'!B32)</x:f>
      </x:c>
      <x:c r="C42" s="31" t="str">
        <x:f>IF('Pilot Portfolio'!C32="","",'Pilot Portfolio'!C32)</x:f>
      </x:c>
      <x:c r="D42" s="31" t="str">
        <x:f>IF('Pilot Portfolio'!D32="","",'Pilot Portfolio'!D32)</x:f>
      </x:c>
      <x:c r="E42" s="30" t="str">
        <x:f>IF('Pilot Portfolio'!E32="","",'Pilot Portfolio'!E32)</x:f>
      </x:c>
      <x:c r="F42" s="31" t="str">
        <x:f>IF('Pilot Portfolio'!F32="","",'Pilot Portfolio'!F32)</x:f>
      </x:c>
      <x:c r="G42" s="30" t="str">
        <x:f>IF('Pilot Portfolio'!G32="","",'Pilot Portfolio'!G32)</x:f>
      </x:c>
      <x:c r="H42" s="30" t="str">
        <x:f>IF('Pilot Portfolio'!H32="","",'Pilot Portfolio'!H32)</x:f>
      </x:c>
      <x:c r="I42" s="30" t="str">
        <x:f>IF('Pilot Portfolio'!I32="","",'Pilot Portfolio'!I32)</x:f>
      </x:c>
      <x:c r="J42" s="30" t="str">
        <x:f>IF('Pilot Portfolio'!L32="","",'Pilot Portfolio'!L32)</x:f>
      </x:c>
      <x:c r="K42" s="41" t="str">
        <x:f>IF('Pilot Portfolio'!N32="","",'Pilot Portfolio'!N32)</x:f>
      </x:c>
      <x:c r="L42" s="30" t="str">
        <x:f>IF('Pilot Portfolio'!K32="","",'Pilot Portfolio'!K32)</x:f>
      </x:c>
    </x:row>
    <x:row r="43" ht="34" customHeight="1">
      <x:c r="A43" s="30" t="str">
        <x:f>IF('Pilot Portfolio'!A33="","",'Pilot Portfolio'!A33)</x:f>
      </x:c>
      <x:c r="B43" s="30" t="str">
        <x:f>IF('Pilot Portfolio'!B33="","",'Pilot Portfolio'!B33)</x:f>
      </x:c>
      <x:c r="C43" s="31" t="str">
        <x:f>IF('Pilot Portfolio'!C33="","",'Pilot Portfolio'!C33)</x:f>
      </x:c>
      <x:c r="D43" s="31" t="str">
        <x:f>IF('Pilot Portfolio'!D33="","",'Pilot Portfolio'!D33)</x:f>
      </x:c>
      <x:c r="E43" s="30" t="str">
        <x:f>IF('Pilot Portfolio'!E33="","",'Pilot Portfolio'!E33)</x:f>
      </x:c>
      <x:c r="F43" s="31" t="str">
        <x:f>IF('Pilot Portfolio'!F33="","",'Pilot Portfolio'!F33)</x:f>
      </x:c>
      <x:c r="G43" s="30" t="str">
        <x:f>IF('Pilot Portfolio'!G33="","",'Pilot Portfolio'!G33)</x:f>
      </x:c>
      <x:c r="H43" s="30" t="str">
        <x:f>IF('Pilot Portfolio'!H33="","",'Pilot Portfolio'!H33)</x:f>
      </x:c>
      <x:c r="I43" s="30" t="str">
        <x:f>IF('Pilot Portfolio'!I33="","",'Pilot Portfolio'!I33)</x:f>
      </x:c>
      <x:c r="J43" s="30" t="str">
        <x:f>IF('Pilot Portfolio'!L33="","",'Pilot Portfolio'!L33)</x:f>
      </x:c>
      <x:c r="K43" s="41" t="str">
        <x:f>IF('Pilot Portfolio'!N33="","",'Pilot Portfolio'!N33)</x:f>
      </x:c>
      <x:c r="L43" s="30" t="str">
        <x:f>IF('Pilot Portfolio'!K33="","",'Pilot Portfolio'!K33)</x:f>
      </x:c>
    </x:row>
    <x:row r="44" ht="34" customHeight="1">
      <x:c r="A44" s="32" t="str">
        <x:f>IF('Pilot Portfolio'!A34="","",'Pilot Portfolio'!A34)</x:f>
      </x:c>
      <x:c r="B44" s="32" t="str">
        <x:f>IF('Pilot Portfolio'!B34="","",'Pilot Portfolio'!B34)</x:f>
      </x:c>
      <x:c r="C44" s="33" t="str">
        <x:f>IF('Pilot Portfolio'!C34="","",'Pilot Portfolio'!C34)</x:f>
      </x:c>
      <x:c r="D44" s="33" t="str">
        <x:f>IF('Pilot Portfolio'!D34="","",'Pilot Portfolio'!D34)</x:f>
      </x:c>
      <x:c r="E44" s="32" t="str">
        <x:f>IF('Pilot Portfolio'!E34="","",'Pilot Portfolio'!E34)</x:f>
      </x:c>
      <x:c r="F44" s="33" t="str">
        <x:f>IF('Pilot Portfolio'!F34="","",'Pilot Portfolio'!F34)</x:f>
      </x:c>
      <x:c r="G44" s="32" t="str">
        <x:f>IF('Pilot Portfolio'!G34="","",'Pilot Portfolio'!G34)</x:f>
      </x:c>
      <x:c r="H44" s="32" t="str">
        <x:f>IF('Pilot Portfolio'!H34="","",'Pilot Portfolio'!H34)</x:f>
      </x:c>
      <x:c r="I44" s="32" t="str">
        <x:f>IF('Pilot Portfolio'!I34="","",'Pilot Portfolio'!I34)</x:f>
      </x:c>
      <x:c r="J44" s="32" t="str">
        <x:f>IF('Pilot Portfolio'!L34="","",'Pilot Portfolio'!L34)</x:f>
      </x:c>
      <x:c r="K44" s="42" t="str">
        <x:f>IF('Pilot Portfolio'!N34="","",'Pilot Portfolio'!N34)</x:f>
      </x:c>
      <x:c r="L44" s="32" t="str">
        <x:f>IF('Pilot Portfolio'!K34="","",'Pilot Portfolio'!K34)</x:f>
      </x:c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</x:row>
  </x:sheetData>
  <x:mergeCells>
    <x:mergeCell ref="A2:L2"/>
  </x:mergeCells>
  <x:conditionalFormatting sqref="G15:G44">
    <x:cfRule type="containsText" dxfId="3" priority="1" operator="containsText" text="Do not proce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14" hidden="0" customWidth="1"/>
    <x:col min="5" max="5" width="17" hidden="0" customWidth="1"/>
    <x:col min="6" max="6" width="14" hidden="0" customWidth="1"/>
    <x:col min="7" max="7" width="24" hidden="0" customWidth="1"/>
    <x:col min="8" max="8" width="25" hidden="0" customWidth="1"/>
    <x:col min="9" max="9" width="16" hidden="0" customWidth="1"/>
    <x:col min="10" max="10" width="22" hidden="0" customWidth="1"/>
    <x:col min="11" max="11" width="22" hidden="0" customWidth="1"/>
    <x:col min="12" max="12" width="24" hidden="0" customWidth="1"/>
    <x:col min="13" max="13" width="15" hidden="0" customWidth="1"/>
    <x:col min="14" max="14" width="15" hidden="0" customWidth="1"/>
    <x:col min="15" max="15" width="28" hidden="0" customWidth="1"/>
    <x:col min="16" max="16" width="3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5" t="str">
        <x:v>Pilot portfolio: evidence-based selection and authorization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8" customHeight="1">
      <x:c r="A4" s="18" t="str">
        <x:v>Use case ID</x:v>
      </x:c>
      <x:c r="B4" s="19" t="str">
        <x:v>Title</x:v>
      </x:c>
      <x:c r="C4" s="19" t="str">
        <x:v>Value avg</x:v>
      </x:c>
      <x:c r="D4" s="19" t="str">
        <x:v>Feasibility avg</x:v>
      </x:c>
      <x:c r="E4" s="19" t="str">
        <x:v>Risk class</x:v>
      </x:c>
      <x:c r="F4" s="19" t="str">
        <x:v>Priority score</x:v>
      </x:c>
      <x:c r="G4" s="19" t="str">
        <x:v>Gate decision</x:v>
      </x:c>
      <x:c r="H4" s="19" t="str">
        <x:v>Suggested treatment</x:v>
      </x:c>
      <x:c r="I4" s="19" t="str">
        <x:v>Proposed wave</x:v>
      </x:c>
      <x:c r="J4" s="19" t="str">
        <x:v>Sponsor</x:v>
      </x:c>
      <x:c r="K4" s="19" t="str">
        <x:v>Accountable owner</x:v>
      </x:c>
      <x:c r="L4" s="19" t="str">
        <x:v>Final decision</x:v>
      </x:c>
      <x:c r="M4" s="19" t="str">
        <x:v>Decision date</x:v>
      </x:c>
      <x:c r="N4" s="19" t="str">
        <x:v>Review date</x:v>
      </x:c>
      <x:c r="O4" s="19" t="str">
        <x:v>Success measure / stopping rule</x:v>
      </x:c>
      <x:c r="P4" s="20" t="str">
        <x:v>Dependencies and conditions</x:v>
      </x:c>
    </x:row>
    <x:row r="5" ht="38" customHeight="1">
      <x:c r="A5" s="30" t="str">
        <x:f>IF('Use Case Register'!A5="","",'Use Case Register'!A5)</x:f>
      </x:c>
      <x:c r="B5" s="30" t="str">
        <x:f>IF('Use Case Register'!B5="","",'Use Case Register'!B5)</x:f>
      </x:c>
      <x:c r="C5" s="31" t="str">
        <x:f>IF(Screening!G5="","",Screening!G5)</x:f>
      </x:c>
      <x:c r="D5" s="31" t="str">
        <x:f>IF(Screening!M5="","",Screening!M5)</x:f>
      </x:c>
      <x:c r="E5" s="30" t="str">
        <x:f>IF(Screening!U5="","",Screening!U5)</x:f>
      </x:c>
      <x:c r="F5" s="31" t="str">
        <x:f>IF(Screening!V5="","",Screening!V5)</x:f>
      </x:c>
      <x:c r="G5" s="30" t="str">
        <x:f>IF('Readiness Gates'!L5="","",'Readiness Gates'!L5)</x:f>
      </x:c>
      <x:c r="H5" s="30" t="str">
        <x:f>IF(A5="","",IF(G5="Do not proceed","Stop",IF(G5="Incomplete","Complete gates",IF(E5="D - Critical","Independent high-risk review",IF(G5="Proceed conditionally","Conditional candidate",IF(F5&gt;=3.5,"Pilot candidate",IF(F5&gt;=2.5,"Develop evidence","Defer")))))))</x:f>
      </x:c>
      <x:c r="I5" s="23"/>
      <x:c r="J5" s="30" t="str">
        <x:f>IF('Use Case Register'!C5="","",'Use Case Register'!C5)</x:f>
      </x:c>
      <x:c r="K5" s="30" t="str">
        <x:f>IF('Use Case Register'!K5="","",'Use Case Register'!K5)</x:f>
      </x:c>
      <x:c r="L5" s="23"/>
      <x:c r="M5" s="35"/>
      <x:c r="N5" s="35"/>
      <x:c r="O5" s="23"/>
      <x:c r="P5" s="23"/>
    </x:row>
    <x:row r="6" ht="38" customHeight="1">
      <x:c r="A6" s="30" t="str">
        <x:f>IF('Use Case Register'!A6="","",'Use Case Register'!A6)</x:f>
      </x:c>
      <x:c r="B6" s="30" t="str">
        <x:f>IF('Use Case Register'!B6="","",'Use Case Register'!B6)</x:f>
      </x:c>
      <x:c r="C6" s="31" t="str">
        <x:f>IF(Screening!G6="","",Screening!G6)</x:f>
      </x:c>
      <x:c r="D6" s="31" t="str">
        <x:f>IF(Screening!M6="","",Screening!M6)</x:f>
      </x:c>
      <x:c r="E6" s="30" t="str">
        <x:f>IF(Screening!U6="","",Screening!U6)</x:f>
      </x:c>
      <x:c r="F6" s="31" t="str">
        <x:f>IF(Screening!V6="","",Screening!V6)</x:f>
      </x:c>
      <x:c r="G6" s="30" t="str">
        <x:f>IF('Readiness Gates'!L6="","",'Readiness Gates'!L6)</x:f>
      </x:c>
      <x:c r="H6" s="30" t="str">
        <x:f>IF(A6="","",IF(G6="Do not proceed","Stop",IF(G6="Incomplete","Complete gates",IF(E6="D - Critical","Independent high-risk review",IF(G6="Proceed conditionally","Conditional candidate",IF(F6&gt;=3.5,"Pilot candidate",IF(F6&gt;=2.5,"Develop evidence","Defer")))))))</x:f>
      </x:c>
      <x:c r="I6" s="23"/>
      <x:c r="J6" s="30" t="str">
        <x:f>IF('Use Case Register'!C6="","",'Use Case Register'!C6)</x:f>
      </x:c>
      <x:c r="K6" s="30" t="str">
        <x:f>IF('Use Case Register'!K6="","",'Use Case Register'!K6)</x:f>
      </x:c>
      <x:c r="L6" s="23"/>
      <x:c r="M6" s="35"/>
      <x:c r="N6" s="35"/>
      <x:c r="O6" s="23"/>
      <x:c r="P6" s="23"/>
    </x:row>
    <x:row r="7" ht="38" customHeight="1">
      <x:c r="A7" s="30" t="str">
        <x:f>IF('Use Case Register'!A7="","",'Use Case Register'!A7)</x:f>
      </x:c>
      <x:c r="B7" s="30" t="str">
        <x:f>IF('Use Case Register'!B7="","",'Use Case Register'!B7)</x:f>
      </x:c>
      <x:c r="C7" s="31" t="str">
        <x:f>IF(Screening!G7="","",Screening!G7)</x:f>
      </x:c>
      <x:c r="D7" s="31" t="str">
        <x:f>IF(Screening!M7="","",Screening!M7)</x:f>
      </x:c>
      <x:c r="E7" s="30" t="str">
        <x:f>IF(Screening!U7="","",Screening!U7)</x:f>
      </x:c>
      <x:c r="F7" s="31" t="str">
        <x:f>IF(Screening!V7="","",Screening!V7)</x:f>
      </x:c>
      <x:c r="G7" s="30" t="str">
        <x:f>IF('Readiness Gates'!L7="","",'Readiness Gates'!L7)</x:f>
      </x:c>
      <x:c r="H7" s="30" t="str">
        <x:f>IF(A7="","",IF(G7="Do not proceed","Stop",IF(G7="Incomplete","Complete gates",IF(E7="D - Critical","Independent high-risk review",IF(G7="Proceed conditionally","Conditional candidate",IF(F7&gt;=3.5,"Pilot candidate",IF(F7&gt;=2.5,"Develop evidence","Defer")))))))</x:f>
      </x:c>
      <x:c r="I7" s="23"/>
      <x:c r="J7" s="30" t="str">
        <x:f>IF('Use Case Register'!C7="","",'Use Case Register'!C7)</x:f>
      </x:c>
      <x:c r="K7" s="30" t="str">
        <x:f>IF('Use Case Register'!K7="","",'Use Case Register'!K7)</x:f>
      </x:c>
      <x:c r="L7" s="23"/>
      <x:c r="M7" s="35"/>
      <x:c r="N7" s="35"/>
      <x:c r="O7" s="23"/>
      <x:c r="P7" s="23"/>
    </x:row>
    <x:row r="8" ht="38" customHeight="1">
      <x:c r="A8" s="30" t="str">
        <x:f>IF('Use Case Register'!A8="","",'Use Case Register'!A8)</x:f>
      </x:c>
      <x:c r="B8" s="30" t="str">
        <x:f>IF('Use Case Register'!B8="","",'Use Case Register'!B8)</x:f>
      </x:c>
      <x:c r="C8" s="31" t="str">
        <x:f>IF(Screening!G8="","",Screening!G8)</x:f>
      </x:c>
      <x:c r="D8" s="31" t="str">
        <x:f>IF(Screening!M8="","",Screening!M8)</x:f>
      </x:c>
      <x:c r="E8" s="30" t="str">
        <x:f>IF(Screening!U8="","",Screening!U8)</x:f>
      </x:c>
      <x:c r="F8" s="31" t="str">
        <x:f>IF(Screening!V8="","",Screening!V8)</x:f>
      </x:c>
      <x:c r="G8" s="30" t="str">
        <x:f>IF('Readiness Gates'!L8="","",'Readiness Gates'!L8)</x:f>
      </x:c>
      <x:c r="H8" s="30" t="str">
        <x:f>IF(A8="","",IF(G8="Do not proceed","Stop",IF(G8="Incomplete","Complete gates",IF(E8="D - Critical","Independent high-risk review",IF(G8="Proceed conditionally","Conditional candidate",IF(F8&gt;=3.5,"Pilot candidate",IF(F8&gt;=2.5,"Develop evidence","Defer")))))))</x:f>
      </x:c>
      <x:c r="I8" s="23"/>
      <x:c r="J8" s="30" t="str">
        <x:f>IF('Use Case Register'!C8="","",'Use Case Register'!C8)</x:f>
      </x:c>
      <x:c r="K8" s="30" t="str">
        <x:f>IF('Use Case Register'!K8="","",'Use Case Register'!K8)</x:f>
      </x:c>
      <x:c r="L8" s="23"/>
      <x:c r="M8" s="35"/>
      <x:c r="N8" s="35"/>
      <x:c r="O8" s="23"/>
      <x:c r="P8" s="23"/>
    </x:row>
    <x:row r="9" ht="38" customHeight="1">
      <x:c r="A9" s="30" t="str">
        <x:f>IF('Use Case Register'!A9="","",'Use Case Register'!A9)</x:f>
      </x:c>
      <x:c r="B9" s="30" t="str">
        <x:f>IF('Use Case Register'!B9="","",'Use Case Register'!B9)</x:f>
      </x:c>
      <x:c r="C9" s="31" t="str">
        <x:f>IF(Screening!G9="","",Screening!G9)</x:f>
      </x:c>
      <x:c r="D9" s="31" t="str">
        <x:f>IF(Screening!M9="","",Screening!M9)</x:f>
      </x:c>
      <x:c r="E9" s="30" t="str">
        <x:f>IF(Screening!U9="","",Screening!U9)</x:f>
      </x:c>
      <x:c r="F9" s="31" t="str">
        <x:f>IF(Screening!V9="","",Screening!V9)</x:f>
      </x:c>
      <x:c r="G9" s="30" t="str">
        <x:f>IF('Readiness Gates'!L9="","",'Readiness Gates'!L9)</x:f>
      </x:c>
      <x:c r="H9" s="30" t="str">
        <x:f>IF(A9="","",IF(G9="Do not proceed","Stop",IF(G9="Incomplete","Complete gates",IF(E9="D - Critical","Independent high-risk review",IF(G9="Proceed conditionally","Conditional candidate",IF(F9&gt;=3.5,"Pilot candidate",IF(F9&gt;=2.5,"Develop evidence","Defer")))))))</x:f>
      </x:c>
      <x:c r="I9" s="23"/>
      <x:c r="J9" s="30" t="str">
        <x:f>IF('Use Case Register'!C9="","",'Use Case Register'!C9)</x:f>
      </x:c>
      <x:c r="K9" s="30" t="str">
        <x:f>IF('Use Case Register'!K9="","",'Use Case Register'!K9)</x:f>
      </x:c>
      <x:c r="L9" s="23"/>
      <x:c r="M9" s="35"/>
      <x:c r="N9" s="35"/>
      <x:c r="O9" s="23"/>
      <x:c r="P9" s="23"/>
    </x:row>
    <x:row r="10" ht="38" customHeight="1">
      <x:c r="A10" s="30" t="str">
        <x:f>IF('Use Case Register'!A10="","",'Use Case Register'!A10)</x:f>
      </x:c>
      <x:c r="B10" s="30" t="str">
        <x:f>IF('Use Case Register'!B10="","",'Use Case Register'!B10)</x:f>
      </x:c>
      <x:c r="C10" s="31" t="str">
        <x:f>IF(Screening!G10="","",Screening!G10)</x:f>
      </x:c>
      <x:c r="D10" s="31" t="str">
        <x:f>IF(Screening!M10="","",Screening!M10)</x:f>
      </x:c>
      <x:c r="E10" s="30" t="str">
        <x:f>IF(Screening!U10="","",Screening!U10)</x:f>
      </x:c>
      <x:c r="F10" s="31" t="str">
        <x:f>IF(Screening!V10="","",Screening!V10)</x:f>
      </x:c>
      <x:c r="G10" s="30" t="str">
        <x:f>IF('Readiness Gates'!L10="","",'Readiness Gates'!L10)</x:f>
      </x:c>
      <x:c r="H10" s="30" t="str">
        <x:f>IF(A10="","",IF(G10="Do not proceed","Stop",IF(G10="Incomplete","Complete gates",IF(E10="D - Critical","Independent high-risk review",IF(G10="Proceed conditionally","Conditional candidate",IF(F10&gt;=3.5,"Pilot candidate",IF(F10&gt;=2.5,"Develop evidence","Defer")))))))</x:f>
      </x:c>
      <x:c r="I10" s="23"/>
      <x:c r="J10" s="30" t="str">
        <x:f>IF('Use Case Register'!C10="","",'Use Case Register'!C10)</x:f>
      </x:c>
      <x:c r="K10" s="30" t="str">
        <x:f>IF('Use Case Register'!K10="","",'Use Case Register'!K10)</x:f>
      </x:c>
      <x:c r="L10" s="23"/>
      <x:c r="M10" s="35"/>
      <x:c r="N10" s="35"/>
      <x:c r="O10" s="23"/>
      <x:c r="P10" s="23"/>
    </x:row>
    <x:row r="11" ht="38" customHeight="1">
      <x:c r="A11" s="30" t="str">
        <x:f>IF('Use Case Register'!A11="","",'Use Case Register'!A11)</x:f>
      </x:c>
      <x:c r="B11" s="30" t="str">
        <x:f>IF('Use Case Register'!B11="","",'Use Case Register'!B11)</x:f>
      </x:c>
      <x:c r="C11" s="31" t="str">
        <x:f>IF(Screening!G11="","",Screening!G11)</x:f>
      </x:c>
      <x:c r="D11" s="31" t="str">
        <x:f>IF(Screening!M11="","",Screening!M11)</x:f>
      </x:c>
      <x:c r="E11" s="30" t="str">
        <x:f>IF(Screening!U11="","",Screening!U11)</x:f>
      </x:c>
      <x:c r="F11" s="31" t="str">
        <x:f>IF(Screening!V11="","",Screening!V11)</x:f>
      </x:c>
      <x:c r="G11" s="30" t="str">
        <x:f>IF('Readiness Gates'!L11="","",'Readiness Gates'!L11)</x:f>
      </x:c>
      <x:c r="H11" s="30" t="str">
        <x:f>IF(A11="","",IF(G11="Do not proceed","Stop",IF(G11="Incomplete","Complete gates",IF(E11="D - Critical","Independent high-risk review",IF(G11="Proceed conditionally","Conditional candidate",IF(F11&gt;=3.5,"Pilot candidate",IF(F11&gt;=2.5,"Develop evidence","Defer")))))))</x:f>
      </x:c>
      <x:c r="I11" s="23"/>
      <x:c r="J11" s="30" t="str">
        <x:f>IF('Use Case Register'!C11="","",'Use Case Register'!C11)</x:f>
      </x:c>
      <x:c r="K11" s="30" t="str">
        <x:f>IF('Use Case Register'!K11="","",'Use Case Register'!K11)</x:f>
      </x:c>
      <x:c r="L11" s="23"/>
      <x:c r="M11" s="35"/>
      <x:c r="N11" s="35"/>
      <x:c r="O11" s="23"/>
      <x:c r="P11" s="23"/>
    </x:row>
    <x:row r="12" ht="38" customHeight="1">
      <x:c r="A12" s="30" t="str">
        <x:f>IF('Use Case Register'!A12="","",'Use Case Register'!A12)</x:f>
      </x:c>
      <x:c r="B12" s="30" t="str">
        <x:f>IF('Use Case Register'!B12="","",'Use Case Register'!B12)</x:f>
      </x:c>
      <x:c r="C12" s="31" t="str">
        <x:f>IF(Screening!G12="","",Screening!G12)</x:f>
      </x:c>
      <x:c r="D12" s="31" t="str">
        <x:f>IF(Screening!M12="","",Screening!M12)</x:f>
      </x:c>
      <x:c r="E12" s="30" t="str">
        <x:f>IF(Screening!U12="","",Screening!U12)</x:f>
      </x:c>
      <x:c r="F12" s="31" t="str">
        <x:f>IF(Screening!V12="","",Screening!V12)</x:f>
      </x:c>
      <x:c r="G12" s="30" t="str">
        <x:f>IF('Readiness Gates'!L12="","",'Readiness Gates'!L12)</x:f>
      </x:c>
      <x:c r="H12" s="30" t="str">
        <x:f>IF(A12="","",IF(G12="Do not proceed","Stop",IF(G12="Incomplete","Complete gates",IF(E12="D - Critical","Independent high-risk review",IF(G12="Proceed conditionally","Conditional candidate",IF(F12&gt;=3.5,"Pilot candidate",IF(F12&gt;=2.5,"Develop evidence","Defer")))))))</x:f>
      </x:c>
      <x:c r="I12" s="23"/>
      <x:c r="J12" s="30" t="str">
        <x:f>IF('Use Case Register'!C12="","",'Use Case Register'!C12)</x:f>
      </x:c>
      <x:c r="K12" s="30" t="str">
        <x:f>IF('Use Case Register'!K12="","",'Use Case Register'!K12)</x:f>
      </x:c>
      <x:c r="L12" s="23"/>
      <x:c r="M12" s="35"/>
      <x:c r="N12" s="35"/>
      <x:c r="O12" s="23"/>
      <x:c r="P12" s="23"/>
    </x:row>
    <x:row r="13" ht="38" customHeight="1">
      <x:c r="A13" s="30" t="str">
        <x:f>IF('Use Case Register'!A13="","",'Use Case Register'!A13)</x:f>
      </x:c>
      <x:c r="B13" s="30" t="str">
        <x:f>IF('Use Case Register'!B13="","",'Use Case Register'!B13)</x:f>
      </x:c>
      <x:c r="C13" s="31" t="str">
        <x:f>IF(Screening!G13="","",Screening!G13)</x:f>
      </x:c>
      <x:c r="D13" s="31" t="str">
        <x:f>IF(Screening!M13="","",Screening!M13)</x:f>
      </x:c>
      <x:c r="E13" s="30" t="str">
        <x:f>IF(Screening!U13="","",Screening!U13)</x:f>
      </x:c>
      <x:c r="F13" s="31" t="str">
        <x:f>IF(Screening!V13="","",Screening!V13)</x:f>
      </x:c>
      <x:c r="G13" s="30" t="str">
        <x:f>IF('Readiness Gates'!L13="","",'Readiness Gates'!L13)</x:f>
      </x:c>
      <x:c r="H13" s="30" t="str">
        <x:f>IF(A13="","",IF(G13="Do not proceed","Stop",IF(G13="Incomplete","Complete gates",IF(E13="D - Critical","Independent high-risk review",IF(G13="Proceed conditionally","Conditional candidate",IF(F13&gt;=3.5,"Pilot candidate",IF(F13&gt;=2.5,"Develop evidence","Defer")))))))</x:f>
      </x:c>
      <x:c r="I13" s="23"/>
      <x:c r="J13" s="30" t="str">
        <x:f>IF('Use Case Register'!C13="","",'Use Case Register'!C13)</x:f>
      </x:c>
      <x:c r="K13" s="30" t="str">
        <x:f>IF('Use Case Register'!K13="","",'Use Case Register'!K13)</x:f>
      </x:c>
      <x:c r="L13" s="23"/>
      <x:c r="M13" s="35"/>
      <x:c r="N13" s="35"/>
      <x:c r="O13" s="23"/>
      <x:c r="P13" s="23"/>
    </x:row>
    <x:row r="14" ht="38" customHeight="1">
      <x:c r="A14" s="30" t="str">
        <x:f>IF('Use Case Register'!A14="","",'Use Case Register'!A14)</x:f>
      </x:c>
      <x:c r="B14" s="30" t="str">
        <x:f>IF('Use Case Register'!B14="","",'Use Case Register'!B14)</x:f>
      </x:c>
      <x:c r="C14" s="31" t="str">
        <x:f>IF(Screening!G14="","",Screening!G14)</x:f>
      </x:c>
      <x:c r="D14" s="31" t="str">
        <x:f>IF(Screening!M14="","",Screening!M14)</x:f>
      </x:c>
      <x:c r="E14" s="30" t="str">
        <x:f>IF(Screening!U14="","",Screening!U14)</x:f>
      </x:c>
      <x:c r="F14" s="31" t="str">
        <x:f>IF(Screening!V14="","",Screening!V14)</x:f>
      </x:c>
      <x:c r="G14" s="30" t="str">
        <x:f>IF('Readiness Gates'!L14="","",'Readiness Gates'!L14)</x:f>
      </x:c>
      <x:c r="H14" s="30" t="str">
        <x:f>IF(A14="","",IF(G14="Do not proceed","Stop",IF(G14="Incomplete","Complete gates",IF(E14="D - Critical","Independent high-risk review",IF(G14="Proceed conditionally","Conditional candidate",IF(F14&gt;=3.5,"Pilot candidate",IF(F14&gt;=2.5,"Develop evidence","Defer")))))))</x:f>
      </x:c>
      <x:c r="I14" s="23"/>
      <x:c r="J14" s="30" t="str">
        <x:f>IF('Use Case Register'!C14="","",'Use Case Register'!C14)</x:f>
      </x:c>
      <x:c r="K14" s="30" t="str">
        <x:f>IF('Use Case Register'!K14="","",'Use Case Register'!K14)</x:f>
      </x:c>
      <x:c r="L14" s="23"/>
      <x:c r="M14" s="35"/>
      <x:c r="N14" s="35"/>
      <x:c r="O14" s="23"/>
      <x:c r="P14" s="23"/>
    </x:row>
    <x:row r="15" ht="38" customHeight="1">
      <x:c r="A15" s="30" t="str">
        <x:f>IF('Use Case Register'!A15="","",'Use Case Register'!A15)</x:f>
      </x:c>
      <x:c r="B15" s="30" t="str">
        <x:f>IF('Use Case Register'!B15="","",'Use Case Register'!B15)</x:f>
      </x:c>
      <x:c r="C15" s="31" t="str">
        <x:f>IF(Screening!G15="","",Screening!G15)</x:f>
      </x:c>
      <x:c r="D15" s="31" t="str">
        <x:f>IF(Screening!M15="","",Screening!M15)</x:f>
      </x:c>
      <x:c r="E15" s="30" t="str">
        <x:f>IF(Screening!U15="","",Screening!U15)</x:f>
      </x:c>
      <x:c r="F15" s="31" t="str">
        <x:f>IF(Screening!V15="","",Screening!V15)</x:f>
      </x:c>
      <x:c r="G15" s="30" t="str">
        <x:f>IF('Readiness Gates'!L15="","",'Readiness Gates'!L15)</x:f>
      </x:c>
      <x:c r="H15" s="30" t="str">
        <x:f>IF(A15="","",IF(G15="Do not proceed","Stop",IF(G15="Incomplete","Complete gates",IF(E15="D - Critical","Independent high-risk review",IF(G15="Proceed conditionally","Conditional candidate",IF(F15&gt;=3.5,"Pilot candidate",IF(F15&gt;=2.5,"Develop evidence","Defer")))))))</x:f>
      </x:c>
      <x:c r="I15" s="23"/>
      <x:c r="J15" s="30" t="str">
        <x:f>IF('Use Case Register'!C15="","",'Use Case Register'!C15)</x:f>
      </x:c>
      <x:c r="K15" s="30" t="str">
        <x:f>IF('Use Case Register'!K15="","",'Use Case Register'!K15)</x:f>
      </x:c>
      <x:c r="L15" s="23"/>
      <x:c r="M15" s="35"/>
      <x:c r="N15" s="35"/>
      <x:c r="O15" s="23"/>
      <x:c r="P15" s="23"/>
    </x:row>
    <x:row r="16" ht="38" customHeight="1">
      <x:c r="A16" s="30" t="str">
        <x:f>IF('Use Case Register'!A16="","",'Use Case Register'!A16)</x:f>
      </x:c>
      <x:c r="B16" s="30" t="str">
        <x:f>IF('Use Case Register'!B16="","",'Use Case Register'!B16)</x:f>
      </x:c>
      <x:c r="C16" s="31" t="str">
        <x:f>IF(Screening!G16="","",Screening!G16)</x:f>
      </x:c>
      <x:c r="D16" s="31" t="str">
        <x:f>IF(Screening!M16="","",Screening!M16)</x:f>
      </x:c>
      <x:c r="E16" s="30" t="str">
        <x:f>IF(Screening!U16="","",Screening!U16)</x:f>
      </x:c>
      <x:c r="F16" s="31" t="str">
        <x:f>IF(Screening!V16="","",Screening!V16)</x:f>
      </x:c>
      <x:c r="G16" s="30" t="str">
        <x:f>IF('Readiness Gates'!L16="","",'Readiness Gates'!L16)</x:f>
      </x:c>
      <x:c r="H16" s="30" t="str">
        <x:f>IF(A16="","",IF(G16="Do not proceed","Stop",IF(G16="Incomplete","Complete gates",IF(E16="D - Critical","Independent high-risk review",IF(G16="Proceed conditionally","Conditional candidate",IF(F16&gt;=3.5,"Pilot candidate",IF(F16&gt;=2.5,"Develop evidence","Defer")))))))</x:f>
      </x:c>
      <x:c r="I16" s="23"/>
      <x:c r="J16" s="30" t="str">
        <x:f>IF('Use Case Register'!C16="","",'Use Case Register'!C16)</x:f>
      </x:c>
      <x:c r="K16" s="30" t="str">
        <x:f>IF('Use Case Register'!K16="","",'Use Case Register'!K16)</x:f>
      </x:c>
      <x:c r="L16" s="23"/>
      <x:c r="M16" s="35"/>
      <x:c r="N16" s="35"/>
      <x:c r="O16" s="23"/>
      <x:c r="P16" s="23"/>
    </x:row>
    <x:row r="17" ht="38" customHeight="1">
      <x:c r="A17" s="30" t="str">
        <x:f>IF('Use Case Register'!A17="","",'Use Case Register'!A17)</x:f>
      </x:c>
      <x:c r="B17" s="30" t="str">
        <x:f>IF('Use Case Register'!B17="","",'Use Case Register'!B17)</x:f>
      </x:c>
      <x:c r="C17" s="31" t="str">
        <x:f>IF(Screening!G17="","",Screening!G17)</x:f>
      </x:c>
      <x:c r="D17" s="31" t="str">
        <x:f>IF(Screening!M17="","",Screening!M17)</x:f>
      </x:c>
      <x:c r="E17" s="30" t="str">
        <x:f>IF(Screening!U17="","",Screening!U17)</x:f>
      </x:c>
      <x:c r="F17" s="31" t="str">
        <x:f>IF(Screening!V17="","",Screening!V17)</x:f>
      </x:c>
      <x:c r="G17" s="30" t="str">
        <x:f>IF('Readiness Gates'!L17="","",'Readiness Gates'!L17)</x:f>
      </x:c>
      <x:c r="H17" s="30" t="str">
        <x:f>IF(A17="","",IF(G17="Do not proceed","Stop",IF(G17="Incomplete","Complete gates",IF(E17="D - Critical","Independent high-risk review",IF(G17="Proceed conditionally","Conditional candidate",IF(F17&gt;=3.5,"Pilot candidate",IF(F17&gt;=2.5,"Develop evidence","Defer")))))))</x:f>
      </x:c>
      <x:c r="I17" s="23"/>
      <x:c r="J17" s="30" t="str">
        <x:f>IF('Use Case Register'!C17="","",'Use Case Register'!C17)</x:f>
      </x:c>
      <x:c r="K17" s="30" t="str">
        <x:f>IF('Use Case Register'!K17="","",'Use Case Register'!K17)</x:f>
      </x:c>
      <x:c r="L17" s="23"/>
      <x:c r="M17" s="35"/>
      <x:c r="N17" s="35"/>
      <x:c r="O17" s="23"/>
      <x:c r="P17" s="23"/>
    </x:row>
    <x:row r="18" ht="38" customHeight="1">
      <x:c r="A18" s="30" t="str">
        <x:f>IF('Use Case Register'!A18="","",'Use Case Register'!A18)</x:f>
      </x:c>
      <x:c r="B18" s="30" t="str">
        <x:f>IF('Use Case Register'!B18="","",'Use Case Register'!B18)</x:f>
      </x:c>
      <x:c r="C18" s="31" t="str">
        <x:f>IF(Screening!G18="","",Screening!G18)</x:f>
      </x:c>
      <x:c r="D18" s="31" t="str">
        <x:f>IF(Screening!M18="","",Screening!M18)</x:f>
      </x:c>
      <x:c r="E18" s="30" t="str">
        <x:f>IF(Screening!U18="","",Screening!U18)</x:f>
      </x:c>
      <x:c r="F18" s="31" t="str">
        <x:f>IF(Screening!V18="","",Screening!V18)</x:f>
      </x:c>
      <x:c r="G18" s="30" t="str">
        <x:f>IF('Readiness Gates'!L18="","",'Readiness Gates'!L18)</x:f>
      </x:c>
      <x:c r="H18" s="30" t="str">
        <x:f>IF(A18="","",IF(G18="Do not proceed","Stop",IF(G18="Incomplete","Complete gates",IF(E18="D - Critical","Independent high-risk review",IF(G18="Proceed conditionally","Conditional candidate",IF(F18&gt;=3.5,"Pilot candidate",IF(F18&gt;=2.5,"Develop evidence","Defer")))))))</x:f>
      </x:c>
      <x:c r="I18" s="23"/>
      <x:c r="J18" s="30" t="str">
        <x:f>IF('Use Case Register'!C18="","",'Use Case Register'!C18)</x:f>
      </x:c>
      <x:c r="K18" s="30" t="str">
        <x:f>IF('Use Case Register'!K18="","",'Use Case Register'!K18)</x:f>
      </x:c>
      <x:c r="L18" s="23"/>
      <x:c r="M18" s="35"/>
      <x:c r="N18" s="35"/>
      <x:c r="O18" s="23"/>
      <x:c r="P18" s="23"/>
    </x:row>
    <x:row r="19" ht="38" customHeight="1">
      <x:c r="A19" s="30" t="str">
        <x:f>IF('Use Case Register'!A19="","",'Use Case Register'!A19)</x:f>
      </x:c>
      <x:c r="B19" s="30" t="str">
        <x:f>IF('Use Case Register'!B19="","",'Use Case Register'!B19)</x:f>
      </x:c>
      <x:c r="C19" s="31" t="str">
        <x:f>IF(Screening!G19="","",Screening!G19)</x:f>
      </x:c>
      <x:c r="D19" s="31" t="str">
        <x:f>IF(Screening!M19="","",Screening!M19)</x:f>
      </x:c>
      <x:c r="E19" s="30" t="str">
        <x:f>IF(Screening!U19="","",Screening!U19)</x:f>
      </x:c>
      <x:c r="F19" s="31" t="str">
        <x:f>IF(Screening!V19="","",Screening!V19)</x:f>
      </x:c>
      <x:c r="G19" s="30" t="str">
        <x:f>IF('Readiness Gates'!L19="","",'Readiness Gates'!L19)</x:f>
      </x:c>
      <x:c r="H19" s="30" t="str">
        <x:f>IF(A19="","",IF(G19="Do not proceed","Stop",IF(G19="Incomplete","Complete gates",IF(E19="D - Critical","Independent high-risk review",IF(G19="Proceed conditionally","Conditional candidate",IF(F19&gt;=3.5,"Pilot candidate",IF(F19&gt;=2.5,"Develop evidence","Defer")))))))</x:f>
      </x:c>
      <x:c r="I19" s="23"/>
      <x:c r="J19" s="30" t="str">
        <x:f>IF('Use Case Register'!C19="","",'Use Case Register'!C19)</x:f>
      </x:c>
      <x:c r="K19" s="30" t="str">
        <x:f>IF('Use Case Register'!K19="","",'Use Case Register'!K19)</x:f>
      </x:c>
      <x:c r="L19" s="23"/>
      <x:c r="M19" s="35"/>
      <x:c r="N19" s="35"/>
      <x:c r="O19" s="23"/>
      <x:c r="P19" s="23"/>
    </x:row>
    <x:row r="20" ht="38" customHeight="1">
      <x:c r="A20" s="30" t="str">
        <x:f>IF('Use Case Register'!A20="","",'Use Case Register'!A20)</x:f>
      </x:c>
      <x:c r="B20" s="30" t="str">
        <x:f>IF('Use Case Register'!B20="","",'Use Case Register'!B20)</x:f>
      </x:c>
      <x:c r="C20" s="31" t="str">
        <x:f>IF(Screening!G20="","",Screening!G20)</x:f>
      </x:c>
      <x:c r="D20" s="31" t="str">
        <x:f>IF(Screening!M20="","",Screening!M20)</x:f>
      </x:c>
      <x:c r="E20" s="30" t="str">
        <x:f>IF(Screening!U20="","",Screening!U20)</x:f>
      </x:c>
      <x:c r="F20" s="31" t="str">
        <x:f>IF(Screening!V20="","",Screening!V20)</x:f>
      </x:c>
      <x:c r="G20" s="30" t="str">
        <x:f>IF('Readiness Gates'!L20="","",'Readiness Gates'!L20)</x:f>
      </x:c>
      <x:c r="H20" s="30" t="str">
        <x:f>IF(A20="","",IF(G20="Do not proceed","Stop",IF(G20="Incomplete","Complete gates",IF(E20="D - Critical","Independent high-risk review",IF(G20="Proceed conditionally","Conditional candidate",IF(F20&gt;=3.5,"Pilot candidate",IF(F20&gt;=2.5,"Develop evidence","Defer")))))))</x:f>
      </x:c>
      <x:c r="I20" s="23"/>
      <x:c r="J20" s="30" t="str">
        <x:f>IF('Use Case Register'!C20="","",'Use Case Register'!C20)</x:f>
      </x:c>
      <x:c r="K20" s="30" t="str">
        <x:f>IF('Use Case Register'!K20="","",'Use Case Register'!K20)</x:f>
      </x:c>
      <x:c r="L20" s="23"/>
      <x:c r="M20" s="35"/>
      <x:c r="N20" s="35"/>
      <x:c r="O20" s="23"/>
      <x:c r="P20" s="23"/>
    </x:row>
    <x:row r="21" ht="38" customHeight="1">
      <x:c r="A21" s="30" t="str">
        <x:f>IF('Use Case Register'!A21="","",'Use Case Register'!A21)</x:f>
      </x:c>
      <x:c r="B21" s="30" t="str">
        <x:f>IF('Use Case Register'!B21="","",'Use Case Register'!B21)</x:f>
      </x:c>
      <x:c r="C21" s="31" t="str">
        <x:f>IF(Screening!G21="","",Screening!G21)</x:f>
      </x:c>
      <x:c r="D21" s="31" t="str">
        <x:f>IF(Screening!M21="","",Screening!M21)</x:f>
      </x:c>
      <x:c r="E21" s="30" t="str">
        <x:f>IF(Screening!U21="","",Screening!U21)</x:f>
      </x:c>
      <x:c r="F21" s="31" t="str">
        <x:f>IF(Screening!V21="","",Screening!V21)</x:f>
      </x:c>
      <x:c r="G21" s="30" t="str">
        <x:f>IF('Readiness Gates'!L21="","",'Readiness Gates'!L21)</x:f>
      </x:c>
      <x:c r="H21" s="30" t="str">
        <x:f>IF(A21="","",IF(G21="Do not proceed","Stop",IF(G21="Incomplete","Complete gates",IF(E21="D - Critical","Independent high-risk review",IF(G21="Proceed conditionally","Conditional candidate",IF(F21&gt;=3.5,"Pilot candidate",IF(F21&gt;=2.5,"Develop evidence","Defer")))))))</x:f>
      </x:c>
      <x:c r="I21" s="23"/>
      <x:c r="J21" s="30" t="str">
        <x:f>IF('Use Case Register'!C21="","",'Use Case Register'!C21)</x:f>
      </x:c>
      <x:c r="K21" s="30" t="str">
        <x:f>IF('Use Case Register'!K21="","",'Use Case Register'!K21)</x:f>
      </x:c>
      <x:c r="L21" s="23"/>
      <x:c r="M21" s="35"/>
      <x:c r="N21" s="35"/>
      <x:c r="O21" s="23"/>
      <x:c r="P21" s="23"/>
    </x:row>
    <x:row r="22" ht="38" customHeight="1">
      <x:c r="A22" s="30" t="str">
        <x:f>IF('Use Case Register'!A22="","",'Use Case Register'!A22)</x:f>
      </x:c>
      <x:c r="B22" s="30" t="str">
        <x:f>IF('Use Case Register'!B22="","",'Use Case Register'!B22)</x:f>
      </x:c>
      <x:c r="C22" s="31" t="str">
        <x:f>IF(Screening!G22="","",Screening!G22)</x:f>
      </x:c>
      <x:c r="D22" s="31" t="str">
        <x:f>IF(Screening!M22="","",Screening!M22)</x:f>
      </x:c>
      <x:c r="E22" s="30" t="str">
        <x:f>IF(Screening!U22="","",Screening!U22)</x:f>
      </x:c>
      <x:c r="F22" s="31" t="str">
        <x:f>IF(Screening!V22="","",Screening!V22)</x:f>
      </x:c>
      <x:c r="G22" s="30" t="str">
        <x:f>IF('Readiness Gates'!L22="","",'Readiness Gates'!L22)</x:f>
      </x:c>
      <x:c r="H22" s="30" t="str">
        <x:f>IF(A22="","",IF(G22="Do not proceed","Stop",IF(G22="Incomplete","Complete gates",IF(E22="D - Critical","Independent high-risk review",IF(G22="Proceed conditionally","Conditional candidate",IF(F22&gt;=3.5,"Pilot candidate",IF(F22&gt;=2.5,"Develop evidence","Defer")))))))</x:f>
      </x:c>
      <x:c r="I22" s="23"/>
      <x:c r="J22" s="30" t="str">
        <x:f>IF('Use Case Register'!C22="","",'Use Case Register'!C22)</x:f>
      </x:c>
      <x:c r="K22" s="30" t="str">
        <x:f>IF('Use Case Register'!K22="","",'Use Case Register'!K22)</x:f>
      </x:c>
      <x:c r="L22" s="23"/>
      <x:c r="M22" s="35"/>
      <x:c r="N22" s="35"/>
      <x:c r="O22" s="23"/>
      <x:c r="P22" s="23"/>
    </x:row>
    <x:row r="23" ht="38" customHeight="1">
      <x:c r="A23" s="30" t="str">
        <x:f>IF('Use Case Register'!A23="","",'Use Case Register'!A23)</x:f>
      </x:c>
      <x:c r="B23" s="30" t="str">
        <x:f>IF('Use Case Register'!B23="","",'Use Case Register'!B23)</x:f>
      </x:c>
      <x:c r="C23" s="31" t="str">
        <x:f>IF(Screening!G23="","",Screening!G23)</x:f>
      </x:c>
      <x:c r="D23" s="31" t="str">
        <x:f>IF(Screening!M23="","",Screening!M23)</x:f>
      </x:c>
      <x:c r="E23" s="30" t="str">
        <x:f>IF(Screening!U23="","",Screening!U23)</x:f>
      </x:c>
      <x:c r="F23" s="31" t="str">
        <x:f>IF(Screening!V23="","",Screening!V23)</x:f>
      </x:c>
      <x:c r="G23" s="30" t="str">
        <x:f>IF('Readiness Gates'!L23="","",'Readiness Gates'!L23)</x:f>
      </x:c>
      <x:c r="H23" s="30" t="str">
        <x:f>IF(A23="","",IF(G23="Do not proceed","Stop",IF(G23="Incomplete","Complete gates",IF(E23="D - Critical","Independent high-risk review",IF(G23="Proceed conditionally","Conditional candidate",IF(F23&gt;=3.5,"Pilot candidate",IF(F23&gt;=2.5,"Develop evidence","Defer")))))))</x:f>
      </x:c>
      <x:c r="I23" s="23"/>
      <x:c r="J23" s="30" t="str">
        <x:f>IF('Use Case Register'!C23="","",'Use Case Register'!C23)</x:f>
      </x:c>
      <x:c r="K23" s="30" t="str">
        <x:f>IF('Use Case Register'!K23="","",'Use Case Register'!K23)</x:f>
      </x:c>
      <x:c r="L23" s="23"/>
      <x:c r="M23" s="35"/>
      <x:c r="N23" s="35"/>
      <x:c r="O23" s="23"/>
      <x:c r="P23" s="23"/>
    </x:row>
    <x:row r="24" ht="38" customHeight="1">
      <x:c r="A24" s="30" t="str">
        <x:f>IF('Use Case Register'!A24="","",'Use Case Register'!A24)</x:f>
      </x:c>
      <x:c r="B24" s="30" t="str">
        <x:f>IF('Use Case Register'!B24="","",'Use Case Register'!B24)</x:f>
      </x:c>
      <x:c r="C24" s="31" t="str">
        <x:f>IF(Screening!G24="","",Screening!G24)</x:f>
      </x:c>
      <x:c r="D24" s="31" t="str">
        <x:f>IF(Screening!M24="","",Screening!M24)</x:f>
      </x:c>
      <x:c r="E24" s="30" t="str">
        <x:f>IF(Screening!U24="","",Screening!U24)</x:f>
      </x:c>
      <x:c r="F24" s="31" t="str">
        <x:f>IF(Screening!V24="","",Screening!V24)</x:f>
      </x:c>
      <x:c r="G24" s="30" t="str">
        <x:f>IF('Readiness Gates'!L24="","",'Readiness Gates'!L24)</x:f>
      </x:c>
      <x:c r="H24" s="30" t="str">
        <x:f>IF(A24="","",IF(G24="Do not proceed","Stop",IF(G24="Incomplete","Complete gates",IF(E24="D - Critical","Independent high-risk review",IF(G24="Proceed conditionally","Conditional candidate",IF(F24&gt;=3.5,"Pilot candidate",IF(F24&gt;=2.5,"Develop evidence","Defer")))))))</x:f>
      </x:c>
      <x:c r="I24" s="23"/>
      <x:c r="J24" s="30" t="str">
        <x:f>IF('Use Case Register'!C24="","",'Use Case Register'!C24)</x:f>
      </x:c>
      <x:c r="K24" s="30" t="str">
        <x:f>IF('Use Case Register'!K24="","",'Use Case Register'!K24)</x:f>
      </x:c>
      <x:c r="L24" s="23"/>
      <x:c r="M24" s="35"/>
      <x:c r="N24" s="35"/>
      <x:c r="O24" s="23"/>
      <x:c r="P24" s="23"/>
    </x:row>
    <x:row r="25" ht="38" customHeight="1">
      <x:c r="A25" s="30" t="str">
        <x:f>IF('Use Case Register'!A25="","",'Use Case Register'!A25)</x:f>
      </x:c>
      <x:c r="B25" s="30" t="str">
        <x:f>IF('Use Case Register'!B25="","",'Use Case Register'!B25)</x:f>
      </x:c>
      <x:c r="C25" s="31" t="str">
        <x:f>IF(Screening!G25="","",Screening!G25)</x:f>
      </x:c>
      <x:c r="D25" s="31" t="str">
        <x:f>IF(Screening!M25="","",Screening!M25)</x:f>
      </x:c>
      <x:c r="E25" s="30" t="str">
        <x:f>IF(Screening!U25="","",Screening!U25)</x:f>
      </x:c>
      <x:c r="F25" s="31" t="str">
        <x:f>IF(Screening!V25="","",Screening!V25)</x:f>
      </x:c>
      <x:c r="G25" s="30" t="str">
        <x:f>IF('Readiness Gates'!L25="","",'Readiness Gates'!L25)</x:f>
      </x:c>
      <x:c r="H25" s="30" t="str">
        <x:f>IF(A25="","",IF(G25="Do not proceed","Stop",IF(G25="Incomplete","Complete gates",IF(E25="D - Critical","Independent high-risk review",IF(G25="Proceed conditionally","Conditional candidate",IF(F25&gt;=3.5,"Pilot candidate",IF(F25&gt;=2.5,"Develop evidence","Defer")))))))</x:f>
      </x:c>
      <x:c r="I25" s="23"/>
      <x:c r="J25" s="30" t="str">
        <x:f>IF('Use Case Register'!C25="","",'Use Case Register'!C25)</x:f>
      </x:c>
      <x:c r="K25" s="30" t="str">
        <x:f>IF('Use Case Register'!K25="","",'Use Case Register'!K25)</x:f>
      </x:c>
      <x:c r="L25" s="23"/>
      <x:c r="M25" s="35"/>
      <x:c r="N25" s="35"/>
      <x:c r="O25" s="23"/>
      <x:c r="P25" s="23"/>
    </x:row>
    <x:row r="26" ht="38" customHeight="1">
      <x:c r="A26" s="30" t="str">
        <x:f>IF('Use Case Register'!A26="","",'Use Case Register'!A26)</x:f>
      </x:c>
      <x:c r="B26" s="30" t="str">
        <x:f>IF('Use Case Register'!B26="","",'Use Case Register'!B26)</x:f>
      </x:c>
      <x:c r="C26" s="31" t="str">
        <x:f>IF(Screening!G26="","",Screening!G26)</x:f>
      </x:c>
      <x:c r="D26" s="31" t="str">
        <x:f>IF(Screening!M26="","",Screening!M26)</x:f>
      </x:c>
      <x:c r="E26" s="30" t="str">
        <x:f>IF(Screening!U26="","",Screening!U26)</x:f>
      </x:c>
      <x:c r="F26" s="31" t="str">
        <x:f>IF(Screening!V26="","",Screening!V26)</x:f>
      </x:c>
      <x:c r="G26" s="30" t="str">
        <x:f>IF('Readiness Gates'!L26="","",'Readiness Gates'!L26)</x:f>
      </x:c>
      <x:c r="H26" s="30" t="str">
        <x:f>IF(A26="","",IF(G26="Do not proceed","Stop",IF(G26="Incomplete","Complete gates",IF(E26="D - Critical","Independent high-risk review",IF(G26="Proceed conditionally","Conditional candidate",IF(F26&gt;=3.5,"Pilot candidate",IF(F26&gt;=2.5,"Develop evidence","Defer")))))))</x:f>
      </x:c>
      <x:c r="I26" s="23"/>
      <x:c r="J26" s="30" t="str">
        <x:f>IF('Use Case Register'!C26="","",'Use Case Register'!C26)</x:f>
      </x:c>
      <x:c r="K26" s="30" t="str">
        <x:f>IF('Use Case Register'!K26="","",'Use Case Register'!K26)</x:f>
      </x:c>
      <x:c r="L26" s="23"/>
      <x:c r="M26" s="35"/>
      <x:c r="N26" s="35"/>
      <x:c r="O26" s="23"/>
      <x:c r="P26" s="23"/>
    </x:row>
    <x:row r="27" ht="38" customHeight="1">
      <x:c r="A27" s="30" t="str">
        <x:f>IF('Use Case Register'!A27="","",'Use Case Register'!A27)</x:f>
      </x:c>
      <x:c r="B27" s="30" t="str">
        <x:f>IF('Use Case Register'!B27="","",'Use Case Register'!B27)</x:f>
      </x:c>
      <x:c r="C27" s="31" t="str">
        <x:f>IF(Screening!G27="","",Screening!G27)</x:f>
      </x:c>
      <x:c r="D27" s="31" t="str">
        <x:f>IF(Screening!M27="","",Screening!M27)</x:f>
      </x:c>
      <x:c r="E27" s="30" t="str">
        <x:f>IF(Screening!U27="","",Screening!U27)</x:f>
      </x:c>
      <x:c r="F27" s="31" t="str">
        <x:f>IF(Screening!V27="","",Screening!V27)</x:f>
      </x:c>
      <x:c r="G27" s="30" t="str">
        <x:f>IF('Readiness Gates'!L27="","",'Readiness Gates'!L27)</x:f>
      </x:c>
      <x:c r="H27" s="30" t="str">
        <x:f>IF(A27="","",IF(G27="Do not proceed","Stop",IF(G27="Incomplete","Complete gates",IF(E27="D - Critical","Independent high-risk review",IF(G27="Proceed conditionally","Conditional candidate",IF(F27&gt;=3.5,"Pilot candidate",IF(F27&gt;=2.5,"Develop evidence","Defer")))))))</x:f>
      </x:c>
      <x:c r="I27" s="23"/>
      <x:c r="J27" s="30" t="str">
        <x:f>IF('Use Case Register'!C27="","",'Use Case Register'!C27)</x:f>
      </x:c>
      <x:c r="K27" s="30" t="str">
        <x:f>IF('Use Case Register'!K27="","",'Use Case Register'!K27)</x:f>
      </x:c>
      <x:c r="L27" s="23"/>
      <x:c r="M27" s="35"/>
      <x:c r="N27" s="35"/>
      <x:c r="O27" s="23"/>
      <x:c r="P27" s="23"/>
    </x:row>
    <x:row r="28" ht="38" customHeight="1">
      <x:c r="A28" s="30" t="str">
        <x:f>IF('Use Case Register'!A28="","",'Use Case Register'!A28)</x:f>
      </x:c>
      <x:c r="B28" s="30" t="str">
        <x:f>IF('Use Case Register'!B28="","",'Use Case Register'!B28)</x:f>
      </x:c>
      <x:c r="C28" s="31" t="str">
        <x:f>IF(Screening!G28="","",Screening!G28)</x:f>
      </x:c>
      <x:c r="D28" s="31" t="str">
        <x:f>IF(Screening!M28="","",Screening!M28)</x:f>
      </x:c>
      <x:c r="E28" s="30" t="str">
        <x:f>IF(Screening!U28="","",Screening!U28)</x:f>
      </x:c>
      <x:c r="F28" s="31" t="str">
        <x:f>IF(Screening!V28="","",Screening!V28)</x:f>
      </x:c>
      <x:c r="G28" s="30" t="str">
        <x:f>IF('Readiness Gates'!L28="","",'Readiness Gates'!L28)</x:f>
      </x:c>
      <x:c r="H28" s="30" t="str">
        <x:f>IF(A28="","",IF(G28="Do not proceed","Stop",IF(G28="Incomplete","Complete gates",IF(E28="D - Critical","Independent high-risk review",IF(G28="Proceed conditionally","Conditional candidate",IF(F28&gt;=3.5,"Pilot candidate",IF(F28&gt;=2.5,"Develop evidence","Defer")))))))</x:f>
      </x:c>
      <x:c r="I28" s="23"/>
      <x:c r="J28" s="30" t="str">
        <x:f>IF('Use Case Register'!C28="","",'Use Case Register'!C28)</x:f>
      </x:c>
      <x:c r="K28" s="30" t="str">
        <x:f>IF('Use Case Register'!K28="","",'Use Case Register'!K28)</x:f>
      </x:c>
      <x:c r="L28" s="23"/>
      <x:c r="M28" s="35"/>
      <x:c r="N28" s="35"/>
      <x:c r="O28" s="23"/>
      <x:c r="P28" s="23"/>
    </x:row>
    <x:row r="29" ht="38" customHeight="1">
      <x:c r="A29" s="30" t="str">
        <x:f>IF('Use Case Register'!A29="","",'Use Case Register'!A29)</x:f>
      </x:c>
      <x:c r="B29" s="30" t="str">
        <x:f>IF('Use Case Register'!B29="","",'Use Case Register'!B29)</x:f>
      </x:c>
      <x:c r="C29" s="31" t="str">
        <x:f>IF(Screening!G29="","",Screening!G29)</x:f>
      </x:c>
      <x:c r="D29" s="31" t="str">
        <x:f>IF(Screening!M29="","",Screening!M29)</x:f>
      </x:c>
      <x:c r="E29" s="30" t="str">
        <x:f>IF(Screening!U29="","",Screening!U29)</x:f>
      </x:c>
      <x:c r="F29" s="31" t="str">
        <x:f>IF(Screening!V29="","",Screening!V29)</x:f>
      </x:c>
      <x:c r="G29" s="30" t="str">
        <x:f>IF('Readiness Gates'!L29="","",'Readiness Gates'!L29)</x:f>
      </x:c>
      <x:c r="H29" s="30" t="str">
        <x:f>IF(A29="","",IF(G29="Do not proceed","Stop",IF(G29="Incomplete","Complete gates",IF(E29="D - Critical","Independent high-risk review",IF(G29="Proceed conditionally","Conditional candidate",IF(F29&gt;=3.5,"Pilot candidate",IF(F29&gt;=2.5,"Develop evidence","Defer")))))))</x:f>
      </x:c>
      <x:c r="I29" s="23"/>
      <x:c r="J29" s="30" t="str">
        <x:f>IF('Use Case Register'!C29="","",'Use Case Register'!C29)</x:f>
      </x:c>
      <x:c r="K29" s="30" t="str">
        <x:f>IF('Use Case Register'!K29="","",'Use Case Register'!K29)</x:f>
      </x:c>
      <x:c r="L29" s="23"/>
      <x:c r="M29" s="35"/>
      <x:c r="N29" s="35"/>
      <x:c r="O29" s="23"/>
      <x:c r="P29" s="23"/>
    </x:row>
    <x:row r="30" ht="38" customHeight="1">
      <x:c r="A30" s="30" t="str">
        <x:f>IF('Use Case Register'!A30="","",'Use Case Register'!A30)</x:f>
      </x:c>
      <x:c r="B30" s="30" t="str">
        <x:f>IF('Use Case Register'!B30="","",'Use Case Register'!B30)</x:f>
      </x:c>
      <x:c r="C30" s="31" t="str">
        <x:f>IF(Screening!G30="","",Screening!G30)</x:f>
      </x:c>
      <x:c r="D30" s="31" t="str">
        <x:f>IF(Screening!M30="","",Screening!M30)</x:f>
      </x:c>
      <x:c r="E30" s="30" t="str">
        <x:f>IF(Screening!U30="","",Screening!U30)</x:f>
      </x:c>
      <x:c r="F30" s="31" t="str">
        <x:f>IF(Screening!V30="","",Screening!V30)</x:f>
      </x:c>
      <x:c r="G30" s="30" t="str">
        <x:f>IF('Readiness Gates'!L30="","",'Readiness Gates'!L30)</x:f>
      </x:c>
      <x:c r="H30" s="30" t="str">
        <x:f>IF(A30="","",IF(G30="Do not proceed","Stop",IF(G30="Incomplete","Complete gates",IF(E30="D - Critical","Independent high-risk review",IF(G30="Proceed conditionally","Conditional candidate",IF(F30&gt;=3.5,"Pilot candidate",IF(F30&gt;=2.5,"Develop evidence","Defer")))))))</x:f>
      </x:c>
      <x:c r="I30" s="23"/>
      <x:c r="J30" s="30" t="str">
        <x:f>IF('Use Case Register'!C30="","",'Use Case Register'!C30)</x:f>
      </x:c>
      <x:c r="K30" s="30" t="str">
        <x:f>IF('Use Case Register'!K30="","",'Use Case Register'!K30)</x:f>
      </x:c>
      <x:c r="L30" s="23"/>
      <x:c r="M30" s="35"/>
      <x:c r="N30" s="35"/>
      <x:c r="O30" s="23"/>
      <x:c r="P30" s="23"/>
    </x:row>
    <x:row r="31" ht="38" customHeight="1">
      <x:c r="A31" s="30" t="str">
        <x:f>IF('Use Case Register'!A31="","",'Use Case Register'!A31)</x:f>
      </x:c>
      <x:c r="B31" s="30" t="str">
        <x:f>IF('Use Case Register'!B31="","",'Use Case Register'!B31)</x:f>
      </x:c>
      <x:c r="C31" s="31" t="str">
        <x:f>IF(Screening!G31="","",Screening!G31)</x:f>
      </x:c>
      <x:c r="D31" s="31" t="str">
        <x:f>IF(Screening!M31="","",Screening!M31)</x:f>
      </x:c>
      <x:c r="E31" s="30" t="str">
        <x:f>IF(Screening!U31="","",Screening!U31)</x:f>
      </x:c>
      <x:c r="F31" s="31" t="str">
        <x:f>IF(Screening!V31="","",Screening!V31)</x:f>
      </x:c>
      <x:c r="G31" s="30" t="str">
        <x:f>IF('Readiness Gates'!L31="","",'Readiness Gates'!L31)</x:f>
      </x:c>
      <x:c r="H31" s="30" t="str">
        <x:f>IF(A31="","",IF(G31="Do not proceed","Stop",IF(G31="Incomplete","Complete gates",IF(E31="D - Critical","Independent high-risk review",IF(G31="Proceed conditionally","Conditional candidate",IF(F31&gt;=3.5,"Pilot candidate",IF(F31&gt;=2.5,"Develop evidence","Defer")))))))</x:f>
      </x:c>
      <x:c r="I31" s="23"/>
      <x:c r="J31" s="30" t="str">
        <x:f>IF('Use Case Register'!C31="","",'Use Case Register'!C31)</x:f>
      </x:c>
      <x:c r="K31" s="30" t="str">
        <x:f>IF('Use Case Register'!K31="","",'Use Case Register'!K31)</x:f>
      </x:c>
      <x:c r="L31" s="23"/>
      <x:c r="M31" s="35"/>
      <x:c r="N31" s="35"/>
      <x:c r="O31" s="23"/>
      <x:c r="P31" s="23"/>
    </x:row>
    <x:row r="32" ht="38" customHeight="1">
      <x:c r="A32" s="30" t="str">
        <x:f>IF('Use Case Register'!A32="","",'Use Case Register'!A32)</x:f>
      </x:c>
      <x:c r="B32" s="30" t="str">
        <x:f>IF('Use Case Register'!B32="","",'Use Case Register'!B32)</x:f>
      </x:c>
      <x:c r="C32" s="31" t="str">
        <x:f>IF(Screening!G32="","",Screening!G32)</x:f>
      </x:c>
      <x:c r="D32" s="31" t="str">
        <x:f>IF(Screening!M32="","",Screening!M32)</x:f>
      </x:c>
      <x:c r="E32" s="30" t="str">
        <x:f>IF(Screening!U32="","",Screening!U32)</x:f>
      </x:c>
      <x:c r="F32" s="31" t="str">
        <x:f>IF(Screening!V32="","",Screening!V32)</x:f>
      </x:c>
      <x:c r="G32" s="30" t="str">
        <x:f>IF('Readiness Gates'!L32="","",'Readiness Gates'!L32)</x:f>
      </x:c>
      <x:c r="H32" s="30" t="str">
        <x:f>IF(A32="","",IF(G32="Do not proceed","Stop",IF(G32="Incomplete","Complete gates",IF(E32="D - Critical","Independent high-risk review",IF(G32="Proceed conditionally","Conditional candidate",IF(F32&gt;=3.5,"Pilot candidate",IF(F32&gt;=2.5,"Develop evidence","Defer")))))))</x:f>
      </x:c>
      <x:c r="I32" s="23"/>
      <x:c r="J32" s="30" t="str">
        <x:f>IF('Use Case Register'!C32="","",'Use Case Register'!C32)</x:f>
      </x:c>
      <x:c r="K32" s="30" t="str">
        <x:f>IF('Use Case Register'!K32="","",'Use Case Register'!K32)</x:f>
      </x:c>
      <x:c r="L32" s="23"/>
      <x:c r="M32" s="35"/>
      <x:c r="N32" s="35"/>
      <x:c r="O32" s="23"/>
      <x:c r="P32" s="23"/>
    </x:row>
    <x:row r="33" ht="38" customHeight="1">
      <x:c r="A33" s="30" t="str">
        <x:f>IF('Use Case Register'!A33="","",'Use Case Register'!A33)</x:f>
      </x:c>
      <x:c r="B33" s="30" t="str">
        <x:f>IF('Use Case Register'!B33="","",'Use Case Register'!B33)</x:f>
      </x:c>
      <x:c r="C33" s="31" t="str">
        <x:f>IF(Screening!G33="","",Screening!G33)</x:f>
      </x:c>
      <x:c r="D33" s="31" t="str">
        <x:f>IF(Screening!M33="","",Screening!M33)</x:f>
      </x:c>
      <x:c r="E33" s="30" t="str">
        <x:f>IF(Screening!U33="","",Screening!U33)</x:f>
      </x:c>
      <x:c r="F33" s="31" t="str">
        <x:f>IF(Screening!V33="","",Screening!V33)</x:f>
      </x:c>
      <x:c r="G33" s="30" t="str">
        <x:f>IF('Readiness Gates'!L33="","",'Readiness Gates'!L33)</x:f>
      </x:c>
      <x:c r="H33" s="30" t="str">
        <x:f>IF(A33="","",IF(G33="Do not proceed","Stop",IF(G33="Incomplete","Complete gates",IF(E33="D - Critical","Independent high-risk review",IF(G33="Proceed conditionally","Conditional candidate",IF(F33&gt;=3.5,"Pilot candidate",IF(F33&gt;=2.5,"Develop evidence","Defer")))))))</x:f>
      </x:c>
      <x:c r="I33" s="23"/>
      <x:c r="J33" s="30" t="str">
        <x:f>IF('Use Case Register'!C33="","",'Use Case Register'!C33)</x:f>
      </x:c>
      <x:c r="K33" s="30" t="str">
        <x:f>IF('Use Case Register'!K33="","",'Use Case Register'!K33)</x:f>
      </x:c>
      <x:c r="L33" s="23"/>
      <x:c r="M33" s="35"/>
      <x:c r="N33" s="35"/>
      <x:c r="O33" s="23"/>
      <x:c r="P33" s="23"/>
    </x:row>
    <x:row r="34" ht="38" customHeight="1">
      <x:c r="A34" s="32" t="str">
        <x:f>IF('Use Case Register'!A34="","",'Use Case Register'!A34)</x:f>
      </x:c>
      <x:c r="B34" s="32" t="str">
        <x:f>IF('Use Case Register'!B34="","",'Use Case Register'!B34)</x:f>
      </x:c>
      <x:c r="C34" s="33" t="str">
        <x:f>IF(Screening!G34="","",Screening!G34)</x:f>
      </x:c>
      <x:c r="D34" s="33" t="str">
        <x:f>IF(Screening!M34="","",Screening!M34)</x:f>
      </x:c>
      <x:c r="E34" s="32" t="str">
        <x:f>IF(Screening!U34="","",Screening!U34)</x:f>
      </x:c>
      <x:c r="F34" s="33" t="str">
        <x:f>IF(Screening!V34="","",Screening!V34)</x:f>
      </x:c>
      <x:c r="G34" s="32" t="str">
        <x:f>IF('Readiness Gates'!L34="","",'Readiness Gates'!L34)</x:f>
      </x:c>
      <x:c r="H34" s="32" t="str">
        <x:f>IF(A34="","",IF(G34="Do not proceed","Stop",IF(G34="Incomplete","Complete gates",IF(E34="D - Critical","Independent high-risk review",IF(G34="Proceed conditionally","Conditional candidate",IF(F34&gt;=3.5,"Pilot candidate",IF(F34&gt;=2.5,"Develop evidence","Defer")))))))</x:f>
      </x:c>
      <x:c r="I34" s="26"/>
      <x:c r="J34" s="32" t="str">
        <x:f>IF('Use Case Register'!C34="","",'Use Case Register'!C34)</x:f>
      </x:c>
      <x:c r="K34" s="32" t="str">
        <x:f>IF('Use Case Register'!K34="","",'Use Case Register'!K34)</x:f>
      </x:c>
      <x:c r="L34" s="26"/>
      <x:c r="M34" s="36"/>
      <x:c r="N34" s="36"/>
      <x:c r="O34" s="26"/>
      <x:c r="P34" s="26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</x:row>
  </x:sheetData>
  <x:mergeCells>
    <x:mergeCell ref="A2:P2"/>
  </x:mergeCells>
  <x:conditionalFormatting sqref="H5:H34">
    <x:cfRule type="containsText" dxfId="2" priority="1" operator="containsText" text="Stop"/>
  </x:conditionalFormatting>
  <x:dataValidations count="2">
    <x:dataValidation type="list" sqref="I5:I34">
      <x:formula1>"Wave 1,Wave 2,Wave 3,Not scheduled"</x:formula1>
    </x:dataValidation>
    <x:dataValidation type="list" sqref="L5:L34">
      <x:formula1>"Approve controlled pilot,Approve with conditions,Request more evidence,Hold,Reject,Close"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8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5" t="str">
        <x:v>Use-case screening: value, feasibility and risk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 ht="34" customHeight="1">
      <x:c r="A4" s="18" t="str">
        <x:v>Use case ID</x:v>
      </x:c>
      <x:c r="B4" s="19" t="str">
        <x:v>Title</x:v>
      </x:c>
      <x:c r="C4" s="19" t="str">
        <x:v>Public / statistical value</x:v>
      </x:c>
      <x:c r="D4" s="19" t="str">
        <x:v>Quality benefit</x:v>
      </x:c>
      <x:c r="E4" s="19" t="str">
        <x:v>Timeliness / efficiency</x:v>
      </x:c>
      <x:c r="F4" s="19" t="str">
        <x:v>User demand</x:v>
      </x:c>
      <x:c r="G4" s="19" t="str">
        <x:v>Value average</x:v>
      </x:c>
      <x:c r="H4" s="19" t="str">
        <x:v>Data readiness</x:v>
      </x:c>
      <x:c r="I4" s="19" t="str">
        <x:v>Method readiness</x:v>
      </x:c>
      <x:c r="J4" s="19" t="str">
        <x:v>Skills readiness</x:v>
      </x:c>
      <x:c r="K4" s="19" t="str">
        <x:v>Technology readiness</x:v>
      </x:c>
      <x:c r="L4" s="19" t="str">
        <x:v>Financial sustainability</x:v>
      </x:c>
      <x:c r="M4" s="19" t="str">
        <x:v>Feasibility average</x:v>
      </x:c>
      <x:c r="N4" s="19" t="str">
        <x:v>Confidentiality / privacy risk</x:v>
      </x:c>
      <x:c r="O4" s="19" t="str">
        <x:v>Bias / exclusion risk</x:v>
      </x:c>
      <x:c r="P4" s="19" t="str">
        <x:v>Methodological risk</x:v>
      </x:c>
      <x:c r="Q4" s="19" t="str">
        <x:v>Security risk</x:v>
      </x:c>
      <x:c r="R4" s="19" t="str">
        <x:v>Vendor / continuity risk</x:v>
      </x:c>
      <x:c r="S4" s="19" t="str">
        <x:v>Reputational risk</x:v>
      </x:c>
      <x:c r="T4" s="19" t="str">
        <x:v>Risk average</x:v>
      </x:c>
      <x:c r="U4" s="19" t="str">
        <x:v>Risk class</x:v>
      </x:c>
      <x:c r="V4" s="19" t="str">
        <x:v>Priority score</x:v>
      </x:c>
      <x:c r="W4" s="20" t="str">
        <x:v>Preliminary recommendation</x:v>
      </x:c>
    </x:row>
    <x:row r="5" ht="34" customHeight="1">
      <x:c r="A5" s="30" t="str">
        <x:f>IF('Use Case Register'!A5="","",'Use Case Register'!A5)</x:f>
      </x:c>
      <x:c r="B5" s="30" t="str">
        <x:f>IF('Use Case Register'!B5="","",'Use Case Register'!B5)</x:f>
      </x:c>
      <x:c r="C5" s="23"/>
      <x:c r="D5" s="23"/>
      <x:c r="E5" s="23"/>
      <x:c r="F5" s="23"/>
      <x:c r="G5" s="31" t="str">
        <x:f>IF(COUNT(C5:F5)&lt;4,"",ROUND(AVERAGE(C5:F5),2))</x:f>
      </x:c>
      <x:c r="H5" s="23"/>
      <x:c r="I5" s="23"/>
      <x:c r="J5" s="23"/>
      <x:c r="K5" s="23"/>
      <x:c r="L5" s="23"/>
      <x:c r="M5" s="31" t="str">
        <x:f>IF(COUNT(H5:L5)&lt;5,"",ROUND(AVERAGE(H5:L5),2))</x:f>
      </x:c>
      <x:c r="N5" s="23"/>
      <x:c r="O5" s="23"/>
      <x:c r="P5" s="23"/>
      <x:c r="Q5" s="23"/>
      <x:c r="R5" s="23"/>
      <x:c r="S5" s="23"/>
      <x:c r="T5" s="31" t="str">
        <x:f>IF(COUNT(N5:S5)&lt;6,"",ROUND(AVERAGE(N5:S5),2))</x:f>
      </x:c>
      <x:c r="U5" s="30" t="str">
        <x:f>IF(T5="","",IF(T5&lt;2,"A - Low",IF(T5&lt;3,"B - Moderate",IF(T5&lt;4,"C - High","D - Critical"))))</x:f>
      </x:c>
      <x:c r="V5" s="31" t="str">
        <x:f>IF(OR(G5="",M5="",T5=""),"",ROUND(G5*0.45+M5*0.35+(6-T5)*0.20,2))</x:f>
      </x:c>
      <x:c r="W5" s="30" t="str">
        <x:f>IF(A5="","",IF(COUNT(C5:F5)+COUNT(H5:L5)+COUNT(N5:S5)&lt;15,"Complete screening",IF('Use Case Register'!P5="Yes","Do not advance: prohibited condition",IF(OR(T5&gt;=4,'Use Case Register'!O5="Very high"),"High-risk review",IF(V5&gt;=3.5,"Candidate for gate review",IF(V5&gt;=2.5,"Develop evidence","Defer"))))))</x:f>
      </x:c>
    </x:row>
    <x:row r="6" ht="34" customHeight="1">
      <x:c r="A6" s="30" t="str">
        <x:f>IF('Use Case Register'!A6="","",'Use Case Register'!A6)</x:f>
      </x:c>
      <x:c r="B6" s="30" t="str">
        <x:f>IF('Use Case Register'!B6="","",'Use Case Register'!B6)</x:f>
      </x:c>
      <x:c r="C6" s="23"/>
      <x:c r="D6" s="23"/>
      <x:c r="E6" s="23"/>
      <x:c r="F6" s="23"/>
      <x:c r="G6" s="31" t="str">
        <x:f>IF(COUNT(C6:F6)&lt;4,"",ROUND(AVERAGE(C6:F6),2))</x:f>
      </x:c>
      <x:c r="H6" s="23"/>
      <x:c r="I6" s="23"/>
      <x:c r="J6" s="23"/>
      <x:c r="K6" s="23"/>
      <x:c r="L6" s="23"/>
      <x:c r="M6" s="31" t="str">
        <x:f>IF(COUNT(H6:L6)&lt;5,"",ROUND(AVERAGE(H6:L6),2))</x:f>
      </x:c>
      <x:c r="N6" s="23"/>
      <x:c r="O6" s="23"/>
      <x:c r="P6" s="23"/>
      <x:c r="Q6" s="23"/>
      <x:c r="R6" s="23"/>
      <x:c r="S6" s="23"/>
      <x:c r="T6" s="31" t="str">
        <x:f>IF(COUNT(N6:S6)&lt;6,"",ROUND(AVERAGE(N6:S6),2))</x:f>
      </x:c>
      <x:c r="U6" s="30" t="str">
        <x:f>IF(T6="","",IF(T6&lt;2,"A - Low",IF(T6&lt;3,"B - Moderate",IF(T6&lt;4,"C - High","D - Critical"))))</x:f>
      </x:c>
      <x:c r="V6" s="31" t="str">
        <x:f>IF(OR(G6="",M6="",T6=""),"",ROUND(G6*0.45+M6*0.35+(6-T6)*0.20,2))</x:f>
      </x:c>
      <x:c r="W6" s="30" t="str">
        <x:f>IF(A6="","",IF(COUNT(C6:F6)+COUNT(H6:L6)+COUNT(N6:S6)&lt;15,"Complete screening",IF('Use Case Register'!P6="Yes","Do not advance: prohibited condition",IF(OR(T6&gt;=4,'Use Case Register'!O6="Very high"),"High-risk review",IF(V6&gt;=3.5,"Candidate for gate review",IF(V6&gt;=2.5,"Develop evidence","Defer"))))))</x:f>
      </x:c>
    </x:row>
    <x:row r="7" ht="34" customHeight="1">
      <x:c r="A7" s="30" t="str">
        <x:f>IF('Use Case Register'!A7="","",'Use Case Register'!A7)</x:f>
      </x:c>
      <x:c r="B7" s="30" t="str">
        <x:f>IF('Use Case Register'!B7="","",'Use Case Register'!B7)</x:f>
      </x:c>
      <x:c r="C7" s="23"/>
      <x:c r="D7" s="23"/>
      <x:c r="E7" s="23"/>
      <x:c r="F7" s="23"/>
      <x:c r="G7" s="31" t="str">
        <x:f>IF(COUNT(C7:F7)&lt;4,"",ROUND(AVERAGE(C7:F7),2))</x:f>
      </x:c>
      <x:c r="H7" s="23"/>
      <x:c r="I7" s="23"/>
      <x:c r="J7" s="23"/>
      <x:c r="K7" s="23"/>
      <x:c r="L7" s="23"/>
      <x:c r="M7" s="31" t="str">
        <x:f>IF(COUNT(H7:L7)&lt;5,"",ROUND(AVERAGE(H7:L7),2))</x:f>
      </x:c>
      <x:c r="N7" s="23"/>
      <x:c r="O7" s="23"/>
      <x:c r="P7" s="23"/>
      <x:c r="Q7" s="23"/>
      <x:c r="R7" s="23"/>
      <x:c r="S7" s="23"/>
      <x:c r="T7" s="31" t="str">
        <x:f>IF(COUNT(N7:S7)&lt;6,"",ROUND(AVERAGE(N7:S7),2))</x:f>
      </x:c>
      <x:c r="U7" s="30" t="str">
        <x:f>IF(T7="","",IF(T7&lt;2,"A - Low",IF(T7&lt;3,"B - Moderate",IF(T7&lt;4,"C - High","D - Critical"))))</x:f>
      </x:c>
      <x:c r="V7" s="31" t="str">
        <x:f>IF(OR(G7="",M7="",T7=""),"",ROUND(G7*0.45+M7*0.35+(6-T7)*0.20,2))</x:f>
      </x:c>
      <x:c r="W7" s="30" t="str">
        <x:f>IF(A7="","",IF(COUNT(C7:F7)+COUNT(H7:L7)+COUNT(N7:S7)&lt;15,"Complete screening",IF('Use Case Register'!P7="Yes","Do not advance: prohibited condition",IF(OR(T7&gt;=4,'Use Case Register'!O7="Very high"),"High-risk review",IF(V7&gt;=3.5,"Candidate for gate review",IF(V7&gt;=2.5,"Develop evidence","Defer"))))))</x:f>
      </x:c>
    </x:row>
    <x:row r="8" ht="34" customHeight="1">
      <x:c r="A8" s="30" t="str">
        <x:f>IF('Use Case Register'!A8="","",'Use Case Register'!A8)</x:f>
      </x:c>
      <x:c r="B8" s="30" t="str">
        <x:f>IF('Use Case Register'!B8="","",'Use Case Register'!B8)</x:f>
      </x:c>
      <x:c r="C8" s="23"/>
      <x:c r="D8" s="23"/>
      <x:c r="E8" s="23"/>
      <x:c r="F8" s="23"/>
      <x:c r="G8" s="31" t="str">
        <x:f>IF(COUNT(C8:F8)&lt;4,"",ROUND(AVERAGE(C8:F8),2))</x:f>
      </x:c>
      <x:c r="H8" s="23"/>
      <x:c r="I8" s="23"/>
      <x:c r="J8" s="23"/>
      <x:c r="K8" s="23"/>
      <x:c r="L8" s="23"/>
      <x:c r="M8" s="31" t="str">
        <x:f>IF(COUNT(H8:L8)&lt;5,"",ROUND(AVERAGE(H8:L8),2))</x:f>
      </x:c>
      <x:c r="N8" s="23"/>
      <x:c r="O8" s="23"/>
      <x:c r="P8" s="23"/>
      <x:c r="Q8" s="23"/>
      <x:c r="R8" s="23"/>
      <x:c r="S8" s="23"/>
      <x:c r="T8" s="31" t="str">
        <x:f>IF(COUNT(N8:S8)&lt;6,"",ROUND(AVERAGE(N8:S8),2))</x:f>
      </x:c>
      <x:c r="U8" s="30" t="str">
        <x:f>IF(T8="","",IF(T8&lt;2,"A - Low",IF(T8&lt;3,"B - Moderate",IF(T8&lt;4,"C - High","D - Critical"))))</x:f>
      </x:c>
      <x:c r="V8" s="31" t="str">
        <x:f>IF(OR(G8="",M8="",T8=""),"",ROUND(G8*0.45+M8*0.35+(6-T8)*0.20,2))</x:f>
      </x:c>
      <x:c r="W8" s="30" t="str">
        <x:f>IF(A8="","",IF(COUNT(C8:F8)+COUNT(H8:L8)+COUNT(N8:S8)&lt;15,"Complete screening",IF('Use Case Register'!P8="Yes","Do not advance: prohibited condition",IF(OR(T8&gt;=4,'Use Case Register'!O8="Very high"),"High-risk review",IF(V8&gt;=3.5,"Candidate for gate review",IF(V8&gt;=2.5,"Develop evidence","Defer"))))))</x:f>
      </x:c>
    </x:row>
    <x:row r="9" ht="34" customHeight="1">
      <x:c r="A9" s="30" t="str">
        <x:f>IF('Use Case Register'!A9="","",'Use Case Register'!A9)</x:f>
      </x:c>
      <x:c r="B9" s="30" t="str">
        <x:f>IF('Use Case Register'!B9="","",'Use Case Register'!B9)</x:f>
      </x:c>
      <x:c r="C9" s="23"/>
      <x:c r="D9" s="23"/>
      <x:c r="E9" s="23"/>
      <x:c r="F9" s="23"/>
      <x:c r="G9" s="31" t="str">
        <x:f>IF(COUNT(C9:F9)&lt;4,"",ROUND(AVERAGE(C9:F9),2))</x:f>
      </x:c>
      <x:c r="H9" s="23"/>
      <x:c r="I9" s="23"/>
      <x:c r="J9" s="23"/>
      <x:c r="K9" s="23"/>
      <x:c r="L9" s="23"/>
      <x:c r="M9" s="31" t="str">
        <x:f>IF(COUNT(H9:L9)&lt;5,"",ROUND(AVERAGE(H9:L9),2))</x:f>
      </x:c>
      <x:c r="N9" s="23"/>
      <x:c r="O9" s="23"/>
      <x:c r="P9" s="23"/>
      <x:c r="Q9" s="23"/>
      <x:c r="R9" s="23"/>
      <x:c r="S9" s="23"/>
      <x:c r="T9" s="31" t="str">
        <x:f>IF(COUNT(N9:S9)&lt;6,"",ROUND(AVERAGE(N9:S9),2))</x:f>
      </x:c>
      <x:c r="U9" s="30" t="str">
        <x:f>IF(T9="","",IF(T9&lt;2,"A - Low",IF(T9&lt;3,"B - Moderate",IF(T9&lt;4,"C - High","D - Critical"))))</x:f>
      </x:c>
      <x:c r="V9" s="31" t="str">
        <x:f>IF(OR(G9="",M9="",T9=""),"",ROUND(G9*0.45+M9*0.35+(6-T9)*0.20,2))</x:f>
      </x:c>
      <x:c r="W9" s="30" t="str">
        <x:f>IF(A9="","",IF(COUNT(C9:F9)+COUNT(H9:L9)+COUNT(N9:S9)&lt;15,"Complete screening",IF('Use Case Register'!P9="Yes","Do not advance: prohibited condition",IF(OR(T9&gt;=4,'Use Case Register'!O9="Very high"),"High-risk review",IF(V9&gt;=3.5,"Candidate for gate review",IF(V9&gt;=2.5,"Develop evidence","Defer"))))))</x:f>
      </x:c>
    </x:row>
    <x:row r="10" ht="34" customHeight="1">
      <x:c r="A10" s="30" t="str">
        <x:f>IF('Use Case Register'!A10="","",'Use Case Register'!A10)</x:f>
      </x:c>
      <x:c r="B10" s="30" t="str">
        <x:f>IF('Use Case Register'!B10="","",'Use Case Register'!B10)</x:f>
      </x:c>
      <x:c r="C10" s="23"/>
      <x:c r="D10" s="23"/>
      <x:c r="E10" s="23"/>
      <x:c r="F10" s="23"/>
      <x:c r="G10" s="31" t="str">
        <x:f>IF(COUNT(C10:F10)&lt;4,"",ROUND(AVERAGE(C10:F10),2))</x:f>
      </x:c>
      <x:c r="H10" s="23"/>
      <x:c r="I10" s="23"/>
      <x:c r="J10" s="23"/>
      <x:c r="K10" s="23"/>
      <x:c r="L10" s="23"/>
      <x:c r="M10" s="31" t="str">
        <x:f>IF(COUNT(H10:L10)&lt;5,"",ROUND(AVERAGE(H10:L10),2))</x:f>
      </x:c>
      <x:c r="N10" s="23"/>
      <x:c r="O10" s="23"/>
      <x:c r="P10" s="23"/>
      <x:c r="Q10" s="23"/>
      <x:c r="R10" s="23"/>
      <x:c r="S10" s="23"/>
      <x:c r="T10" s="31" t="str">
        <x:f>IF(COUNT(N10:S10)&lt;6,"",ROUND(AVERAGE(N10:S10),2))</x:f>
      </x:c>
      <x:c r="U10" s="30" t="str">
        <x:f>IF(T10="","",IF(T10&lt;2,"A - Low",IF(T10&lt;3,"B - Moderate",IF(T10&lt;4,"C - High","D - Critical"))))</x:f>
      </x:c>
      <x:c r="V10" s="31" t="str">
        <x:f>IF(OR(G10="",M10="",T10=""),"",ROUND(G10*0.45+M10*0.35+(6-T10)*0.20,2))</x:f>
      </x:c>
      <x:c r="W10" s="30" t="str">
        <x:f>IF(A10="","",IF(COUNT(C10:F10)+COUNT(H10:L10)+COUNT(N10:S10)&lt;15,"Complete screening",IF('Use Case Register'!P10="Yes","Do not advance: prohibited condition",IF(OR(T10&gt;=4,'Use Case Register'!O10="Very high"),"High-risk review",IF(V10&gt;=3.5,"Candidate for gate review",IF(V10&gt;=2.5,"Develop evidence","Defer"))))))</x:f>
      </x:c>
    </x:row>
    <x:row r="11" ht="34" customHeight="1">
      <x:c r="A11" s="30" t="str">
        <x:f>IF('Use Case Register'!A11="","",'Use Case Register'!A11)</x:f>
      </x:c>
      <x:c r="B11" s="30" t="str">
        <x:f>IF('Use Case Register'!B11="","",'Use Case Register'!B11)</x:f>
      </x:c>
      <x:c r="C11" s="23"/>
      <x:c r="D11" s="23"/>
      <x:c r="E11" s="23"/>
      <x:c r="F11" s="23"/>
      <x:c r="G11" s="31" t="str">
        <x:f>IF(COUNT(C11:F11)&lt;4,"",ROUND(AVERAGE(C11:F11),2))</x:f>
      </x:c>
      <x:c r="H11" s="23"/>
      <x:c r="I11" s="23"/>
      <x:c r="J11" s="23"/>
      <x:c r="K11" s="23"/>
      <x:c r="L11" s="23"/>
      <x:c r="M11" s="31" t="str">
        <x:f>IF(COUNT(H11:L11)&lt;5,"",ROUND(AVERAGE(H11:L11),2))</x:f>
      </x:c>
      <x:c r="N11" s="23"/>
      <x:c r="O11" s="23"/>
      <x:c r="P11" s="23"/>
      <x:c r="Q11" s="23"/>
      <x:c r="R11" s="23"/>
      <x:c r="S11" s="23"/>
      <x:c r="T11" s="31" t="str">
        <x:f>IF(COUNT(N11:S11)&lt;6,"",ROUND(AVERAGE(N11:S11),2))</x:f>
      </x:c>
      <x:c r="U11" s="30" t="str">
        <x:f>IF(T11="","",IF(T11&lt;2,"A - Low",IF(T11&lt;3,"B - Moderate",IF(T11&lt;4,"C - High","D - Critical"))))</x:f>
      </x:c>
      <x:c r="V11" s="31" t="str">
        <x:f>IF(OR(G11="",M11="",T11=""),"",ROUND(G11*0.45+M11*0.35+(6-T11)*0.20,2))</x:f>
      </x:c>
      <x:c r="W11" s="30" t="str">
        <x:f>IF(A11="","",IF(COUNT(C11:F11)+COUNT(H11:L11)+COUNT(N11:S11)&lt;15,"Complete screening",IF('Use Case Register'!P11="Yes","Do not advance: prohibited condition",IF(OR(T11&gt;=4,'Use Case Register'!O11="Very high"),"High-risk review",IF(V11&gt;=3.5,"Candidate for gate review",IF(V11&gt;=2.5,"Develop evidence","Defer"))))))</x:f>
      </x:c>
    </x:row>
    <x:row r="12" ht="34" customHeight="1">
      <x:c r="A12" s="30" t="str">
        <x:f>IF('Use Case Register'!A12="","",'Use Case Register'!A12)</x:f>
      </x:c>
      <x:c r="B12" s="30" t="str">
        <x:f>IF('Use Case Register'!B12="","",'Use Case Register'!B12)</x:f>
      </x:c>
      <x:c r="C12" s="23"/>
      <x:c r="D12" s="23"/>
      <x:c r="E12" s="23"/>
      <x:c r="F12" s="23"/>
      <x:c r="G12" s="31" t="str">
        <x:f>IF(COUNT(C12:F12)&lt;4,"",ROUND(AVERAGE(C12:F12),2))</x:f>
      </x:c>
      <x:c r="H12" s="23"/>
      <x:c r="I12" s="23"/>
      <x:c r="J12" s="23"/>
      <x:c r="K12" s="23"/>
      <x:c r="L12" s="23"/>
      <x:c r="M12" s="31" t="str">
        <x:f>IF(COUNT(H12:L12)&lt;5,"",ROUND(AVERAGE(H12:L12),2))</x:f>
      </x:c>
      <x:c r="N12" s="23"/>
      <x:c r="O12" s="23"/>
      <x:c r="P12" s="23"/>
      <x:c r="Q12" s="23"/>
      <x:c r="R12" s="23"/>
      <x:c r="S12" s="23"/>
      <x:c r="T12" s="31" t="str">
        <x:f>IF(COUNT(N12:S12)&lt;6,"",ROUND(AVERAGE(N12:S12),2))</x:f>
      </x:c>
      <x:c r="U12" s="30" t="str">
        <x:f>IF(T12="","",IF(T12&lt;2,"A - Low",IF(T12&lt;3,"B - Moderate",IF(T12&lt;4,"C - High","D - Critical"))))</x:f>
      </x:c>
      <x:c r="V12" s="31" t="str">
        <x:f>IF(OR(G12="",M12="",T12=""),"",ROUND(G12*0.45+M12*0.35+(6-T12)*0.20,2))</x:f>
      </x:c>
      <x:c r="W12" s="30" t="str">
        <x:f>IF(A12="","",IF(COUNT(C12:F12)+COUNT(H12:L12)+COUNT(N12:S12)&lt;15,"Complete screening",IF('Use Case Register'!P12="Yes","Do not advance: prohibited condition",IF(OR(T12&gt;=4,'Use Case Register'!O12="Very high"),"High-risk review",IF(V12&gt;=3.5,"Candidate for gate review",IF(V12&gt;=2.5,"Develop evidence","Defer"))))))</x:f>
      </x:c>
    </x:row>
    <x:row r="13" ht="34" customHeight="1">
      <x:c r="A13" s="30" t="str">
        <x:f>IF('Use Case Register'!A13="","",'Use Case Register'!A13)</x:f>
      </x:c>
      <x:c r="B13" s="30" t="str">
        <x:f>IF('Use Case Register'!B13="","",'Use Case Register'!B13)</x:f>
      </x:c>
      <x:c r="C13" s="23"/>
      <x:c r="D13" s="23"/>
      <x:c r="E13" s="23"/>
      <x:c r="F13" s="23"/>
      <x:c r="G13" s="31" t="str">
        <x:f>IF(COUNT(C13:F13)&lt;4,"",ROUND(AVERAGE(C13:F13),2))</x:f>
      </x:c>
      <x:c r="H13" s="23"/>
      <x:c r="I13" s="23"/>
      <x:c r="J13" s="23"/>
      <x:c r="K13" s="23"/>
      <x:c r="L13" s="23"/>
      <x:c r="M13" s="31" t="str">
        <x:f>IF(COUNT(H13:L13)&lt;5,"",ROUND(AVERAGE(H13:L13),2))</x:f>
      </x:c>
      <x:c r="N13" s="23"/>
      <x:c r="O13" s="23"/>
      <x:c r="P13" s="23"/>
      <x:c r="Q13" s="23"/>
      <x:c r="R13" s="23"/>
      <x:c r="S13" s="23"/>
      <x:c r="T13" s="31" t="str">
        <x:f>IF(COUNT(N13:S13)&lt;6,"",ROUND(AVERAGE(N13:S13),2))</x:f>
      </x:c>
      <x:c r="U13" s="30" t="str">
        <x:f>IF(T13="","",IF(T13&lt;2,"A - Low",IF(T13&lt;3,"B - Moderate",IF(T13&lt;4,"C - High","D - Critical"))))</x:f>
      </x:c>
      <x:c r="V13" s="31" t="str">
        <x:f>IF(OR(G13="",M13="",T13=""),"",ROUND(G13*0.45+M13*0.35+(6-T13)*0.20,2))</x:f>
      </x:c>
      <x:c r="W13" s="30" t="str">
        <x:f>IF(A13="","",IF(COUNT(C13:F13)+COUNT(H13:L13)+COUNT(N13:S13)&lt;15,"Complete screening",IF('Use Case Register'!P13="Yes","Do not advance: prohibited condition",IF(OR(T13&gt;=4,'Use Case Register'!O13="Very high"),"High-risk review",IF(V13&gt;=3.5,"Candidate for gate review",IF(V13&gt;=2.5,"Develop evidence","Defer"))))))</x:f>
      </x:c>
    </x:row>
    <x:row r="14" ht="34" customHeight="1">
      <x:c r="A14" s="30" t="str">
        <x:f>IF('Use Case Register'!A14="","",'Use Case Register'!A14)</x:f>
      </x:c>
      <x:c r="B14" s="30" t="str">
        <x:f>IF('Use Case Register'!B14="","",'Use Case Register'!B14)</x:f>
      </x:c>
      <x:c r="C14" s="23"/>
      <x:c r="D14" s="23"/>
      <x:c r="E14" s="23"/>
      <x:c r="F14" s="23"/>
      <x:c r="G14" s="31" t="str">
        <x:f>IF(COUNT(C14:F14)&lt;4,"",ROUND(AVERAGE(C14:F14),2))</x:f>
      </x:c>
      <x:c r="H14" s="23"/>
      <x:c r="I14" s="23"/>
      <x:c r="J14" s="23"/>
      <x:c r="K14" s="23"/>
      <x:c r="L14" s="23"/>
      <x:c r="M14" s="31" t="str">
        <x:f>IF(COUNT(H14:L14)&lt;5,"",ROUND(AVERAGE(H14:L14),2))</x:f>
      </x:c>
      <x:c r="N14" s="23"/>
      <x:c r="O14" s="23"/>
      <x:c r="P14" s="23"/>
      <x:c r="Q14" s="23"/>
      <x:c r="R14" s="23"/>
      <x:c r="S14" s="23"/>
      <x:c r="T14" s="31" t="str">
        <x:f>IF(COUNT(N14:S14)&lt;6,"",ROUND(AVERAGE(N14:S14),2))</x:f>
      </x:c>
      <x:c r="U14" s="30" t="str">
        <x:f>IF(T14="","",IF(T14&lt;2,"A - Low",IF(T14&lt;3,"B - Moderate",IF(T14&lt;4,"C - High","D - Critical"))))</x:f>
      </x:c>
      <x:c r="V14" s="31" t="str">
        <x:f>IF(OR(G14="",M14="",T14=""),"",ROUND(G14*0.45+M14*0.35+(6-T14)*0.20,2))</x:f>
      </x:c>
      <x:c r="W14" s="30" t="str">
        <x:f>IF(A14="","",IF(COUNT(C14:F14)+COUNT(H14:L14)+COUNT(N14:S14)&lt;15,"Complete screening",IF('Use Case Register'!P14="Yes","Do not advance: prohibited condition",IF(OR(T14&gt;=4,'Use Case Register'!O14="Very high"),"High-risk review",IF(V14&gt;=3.5,"Candidate for gate review",IF(V14&gt;=2.5,"Develop evidence","Defer"))))))</x:f>
      </x:c>
    </x:row>
    <x:row r="15" ht="34" customHeight="1">
      <x:c r="A15" s="30" t="str">
        <x:f>IF('Use Case Register'!A15="","",'Use Case Register'!A15)</x:f>
      </x:c>
      <x:c r="B15" s="30" t="str">
        <x:f>IF('Use Case Register'!B15="","",'Use Case Register'!B15)</x:f>
      </x:c>
      <x:c r="C15" s="23"/>
      <x:c r="D15" s="23"/>
      <x:c r="E15" s="23"/>
      <x:c r="F15" s="23"/>
      <x:c r="G15" s="31" t="str">
        <x:f>IF(COUNT(C15:F15)&lt;4,"",ROUND(AVERAGE(C15:F15),2))</x:f>
      </x:c>
      <x:c r="H15" s="23"/>
      <x:c r="I15" s="23"/>
      <x:c r="J15" s="23"/>
      <x:c r="K15" s="23"/>
      <x:c r="L15" s="23"/>
      <x:c r="M15" s="31" t="str">
        <x:f>IF(COUNT(H15:L15)&lt;5,"",ROUND(AVERAGE(H15:L15),2))</x:f>
      </x:c>
      <x:c r="N15" s="23"/>
      <x:c r="O15" s="23"/>
      <x:c r="P15" s="23"/>
      <x:c r="Q15" s="23"/>
      <x:c r="R15" s="23"/>
      <x:c r="S15" s="23"/>
      <x:c r="T15" s="31" t="str">
        <x:f>IF(COUNT(N15:S15)&lt;6,"",ROUND(AVERAGE(N15:S15),2))</x:f>
      </x:c>
      <x:c r="U15" s="30" t="str">
        <x:f>IF(T15="","",IF(T15&lt;2,"A - Low",IF(T15&lt;3,"B - Moderate",IF(T15&lt;4,"C - High","D - Critical"))))</x:f>
      </x:c>
      <x:c r="V15" s="31" t="str">
        <x:f>IF(OR(G15="",M15="",T15=""),"",ROUND(G15*0.45+M15*0.35+(6-T15)*0.20,2))</x:f>
      </x:c>
      <x:c r="W15" s="30" t="str">
        <x:f>IF(A15="","",IF(COUNT(C15:F15)+COUNT(H15:L15)+COUNT(N15:S15)&lt;15,"Complete screening",IF('Use Case Register'!P15="Yes","Do not advance: prohibited condition",IF(OR(T15&gt;=4,'Use Case Register'!O15="Very high"),"High-risk review",IF(V15&gt;=3.5,"Candidate for gate review",IF(V15&gt;=2.5,"Develop evidence","Defer"))))))</x:f>
      </x:c>
    </x:row>
    <x:row r="16" ht="34" customHeight="1">
      <x:c r="A16" s="30" t="str">
        <x:f>IF('Use Case Register'!A16="","",'Use Case Register'!A16)</x:f>
      </x:c>
      <x:c r="B16" s="30" t="str">
        <x:f>IF('Use Case Register'!B16="","",'Use Case Register'!B16)</x:f>
      </x:c>
      <x:c r="C16" s="23"/>
      <x:c r="D16" s="23"/>
      <x:c r="E16" s="23"/>
      <x:c r="F16" s="23"/>
      <x:c r="G16" s="31" t="str">
        <x:f>IF(COUNT(C16:F16)&lt;4,"",ROUND(AVERAGE(C16:F16),2))</x:f>
      </x:c>
      <x:c r="H16" s="23"/>
      <x:c r="I16" s="23"/>
      <x:c r="J16" s="23"/>
      <x:c r="K16" s="23"/>
      <x:c r="L16" s="23"/>
      <x:c r="M16" s="31" t="str">
        <x:f>IF(COUNT(H16:L16)&lt;5,"",ROUND(AVERAGE(H16:L16),2))</x:f>
      </x:c>
      <x:c r="N16" s="23"/>
      <x:c r="O16" s="23"/>
      <x:c r="P16" s="23"/>
      <x:c r="Q16" s="23"/>
      <x:c r="R16" s="23"/>
      <x:c r="S16" s="23"/>
      <x:c r="T16" s="31" t="str">
        <x:f>IF(COUNT(N16:S16)&lt;6,"",ROUND(AVERAGE(N16:S16),2))</x:f>
      </x:c>
      <x:c r="U16" s="30" t="str">
        <x:f>IF(T16="","",IF(T16&lt;2,"A - Low",IF(T16&lt;3,"B - Moderate",IF(T16&lt;4,"C - High","D - Critical"))))</x:f>
      </x:c>
      <x:c r="V16" s="31" t="str">
        <x:f>IF(OR(G16="",M16="",T16=""),"",ROUND(G16*0.45+M16*0.35+(6-T16)*0.20,2))</x:f>
      </x:c>
      <x:c r="W16" s="30" t="str">
        <x:f>IF(A16="","",IF(COUNT(C16:F16)+COUNT(H16:L16)+COUNT(N16:S16)&lt;15,"Complete screening",IF('Use Case Register'!P16="Yes","Do not advance: prohibited condition",IF(OR(T16&gt;=4,'Use Case Register'!O16="Very high"),"High-risk review",IF(V16&gt;=3.5,"Candidate for gate review",IF(V16&gt;=2.5,"Develop evidence","Defer"))))))</x:f>
      </x:c>
    </x:row>
    <x:row r="17" ht="34" customHeight="1">
      <x:c r="A17" s="30" t="str">
        <x:f>IF('Use Case Register'!A17="","",'Use Case Register'!A17)</x:f>
      </x:c>
      <x:c r="B17" s="30" t="str">
        <x:f>IF('Use Case Register'!B17="","",'Use Case Register'!B17)</x:f>
      </x:c>
      <x:c r="C17" s="23"/>
      <x:c r="D17" s="23"/>
      <x:c r="E17" s="23"/>
      <x:c r="F17" s="23"/>
      <x:c r="G17" s="31" t="str">
        <x:f>IF(COUNT(C17:F17)&lt;4,"",ROUND(AVERAGE(C17:F17),2))</x:f>
      </x:c>
      <x:c r="H17" s="23"/>
      <x:c r="I17" s="23"/>
      <x:c r="J17" s="23"/>
      <x:c r="K17" s="23"/>
      <x:c r="L17" s="23"/>
      <x:c r="M17" s="31" t="str">
        <x:f>IF(COUNT(H17:L17)&lt;5,"",ROUND(AVERAGE(H17:L17),2))</x:f>
      </x:c>
      <x:c r="N17" s="23"/>
      <x:c r="O17" s="23"/>
      <x:c r="P17" s="23"/>
      <x:c r="Q17" s="23"/>
      <x:c r="R17" s="23"/>
      <x:c r="S17" s="23"/>
      <x:c r="T17" s="31" t="str">
        <x:f>IF(COUNT(N17:S17)&lt;6,"",ROUND(AVERAGE(N17:S17),2))</x:f>
      </x:c>
      <x:c r="U17" s="30" t="str">
        <x:f>IF(T17="","",IF(T17&lt;2,"A - Low",IF(T17&lt;3,"B - Moderate",IF(T17&lt;4,"C - High","D - Critical"))))</x:f>
      </x:c>
      <x:c r="V17" s="31" t="str">
        <x:f>IF(OR(G17="",M17="",T17=""),"",ROUND(G17*0.45+M17*0.35+(6-T17)*0.20,2))</x:f>
      </x:c>
      <x:c r="W17" s="30" t="str">
        <x:f>IF(A17="","",IF(COUNT(C17:F17)+COUNT(H17:L17)+COUNT(N17:S17)&lt;15,"Complete screening",IF('Use Case Register'!P17="Yes","Do not advance: prohibited condition",IF(OR(T17&gt;=4,'Use Case Register'!O17="Very high"),"High-risk review",IF(V17&gt;=3.5,"Candidate for gate review",IF(V17&gt;=2.5,"Develop evidence","Defer"))))))</x:f>
      </x:c>
    </x:row>
    <x:row r="18" ht="34" customHeight="1">
      <x:c r="A18" s="30" t="str">
        <x:f>IF('Use Case Register'!A18="","",'Use Case Register'!A18)</x:f>
      </x:c>
      <x:c r="B18" s="30" t="str">
        <x:f>IF('Use Case Register'!B18="","",'Use Case Register'!B18)</x:f>
      </x:c>
      <x:c r="C18" s="23"/>
      <x:c r="D18" s="23"/>
      <x:c r="E18" s="23"/>
      <x:c r="F18" s="23"/>
      <x:c r="G18" s="31" t="str">
        <x:f>IF(COUNT(C18:F18)&lt;4,"",ROUND(AVERAGE(C18:F18),2))</x:f>
      </x:c>
      <x:c r="H18" s="23"/>
      <x:c r="I18" s="23"/>
      <x:c r="J18" s="23"/>
      <x:c r="K18" s="23"/>
      <x:c r="L18" s="23"/>
      <x:c r="M18" s="31" t="str">
        <x:f>IF(COUNT(H18:L18)&lt;5,"",ROUND(AVERAGE(H18:L18),2))</x:f>
      </x:c>
      <x:c r="N18" s="23"/>
      <x:c r="O18" s="23"/>
      <x:c r="P18" s="23"/>
      <x:c r="Q18" s="23"/>
      <x:c r="R18" s="23"/>
      <x:c r="S18" s="23"/>
      <x:c r="T18" s="31" t="str">
        <x:f>IF(COUNT(N18:S18)&lt;6,"",ROUND(AVERAGE(N18:S18),2))</x:f>
      </x:c>
      <x:c r="U18" s="30" t="str">
        <x:f>IF(T18="","",IF(T18&lt;2,"A - Low",IF(T18&lt;3,"B - Moderate",IF(T18&lt;4,"C - High","D - Critical"))))</x:f>
      </x:c>
      <x:c r="V18" s="31" t="str">
        <x:f>IF(OR(G18="",M18="",T18=""),"",ROUND(G18*0.45+M18*0.35+(6-T18)*0.20,2))</x:f>
      </x:c>
      <x:c r="W18" s="30" t="str">
        <x:f>IF(A18="","",IF(COUNT(C18:F18)+COUNT(H18:L18)+COUNT(N18:S18)&lt;15,"Complete screening",IF('Use Case Register'!P18="Yes","Do not advance: prohibited condition",IF(OR(T18&gt;=4,'Use Case Register'!O18="Very high"),"High-risk review",IF(V18&gt;=3.5,"Candidate for gate review",IF(V18&gt;=2.5,"Develop evidence","Defer"))))))</x:f>
      </x:c>
    </x:row>
    <x:row r="19" ht="34" customHeight="1">
      <x:c r="A19" s="30" t="str">
        <x:f>IF('Use Case Register'!A19="","",'Use Case Register'!A19)</x:f>
      </x:c>
      <x:c r="B19" s="30" t="str">
        <x:f>IF('Use Case Register'!B19="","",'Use Case Register'!B19)</x:f>
      </x:c>
      <x:c r="C19" s="23"/>
      <x:c r="D19" s="23"/>
      <x:c r="E19" s="23"/>
      <x:c r="F19" s="23"/>
      <x:c r="G19" s="31" t="str">
        <x:f>IF(COUNT(C19:F19)&lt;4,"",ROUND(AVERAGE(C19:F19),2))</x:f>
      </x:c>
      <x:c r="H19" s="23"/>
      <x:c r="I19" s="23"/>
      <x:c r="J19" s="23"/>
      <x:c r="K19" s="23"/>
      <x:c r="L19" s="23"/>
      <x:c r="M19" s="31" t="str">
        <x:f>IF(COUNT(H19:L19)&lt;5,"",ROUND(AVERAGE(H19:L19),2))</x:f>
      </x:c>
      <x:c r="N19" s="23"/>
      <x:c r="O19" s="23"/>
      <x:c r="P19" s="23"/>
      <x:c r="Q19" s="23"/>
      <x:c r="R19" s="23"/>
      <x:c r="S19" s="23"/>
      <x:c r="T19" s="31" t="str">
        <x:f>IF(COUNT(N19:S19)&lt;6,"",ROUND(AVERAGE(N19:S19),2))</x:f>
      </x:c>
      <x:c r="U19" s="30" t="str">
        <x:f>IF(T19="","",IF(T19&lt;2,"A - Low",IF(T19&lt;3,"B - Moderate",IF(T19&lt;4,"C - High","D - Critical"))))</x:f>
      </x:c>
      <x:c r="V19" s="31" t="str">
        <x:f>IF(OR(G19="",M19="",T19=""),"",ROUND(G19*0.45+M19*0.35+(6-T19)*0.20,2))</x:f>
      </x:c>
      <x:c r="W19" s="30" t="str">
        <x:f>IF(A19="","",IF(COUNT(C19:F19)+COUNT(H19:L19)+COUNT(N19:S19)&lt;15,"Complete screening",IF('Use Case Register'!P19="Yes","Do not advance: prohibited condition",IF(OR(T19&gt;=4,'Use Case Register'!O19="Very high"),"High-risk review",IF(V19&gt;=3.5,"Candidate for gate review",IF(V19&gt;=2.5,"Develop evidence","Defer"))))))</x:f>
      </x:c>
    </x:row>
    <x:row r="20" ht="34" customHeight="1">
      <x:c r="A20" s="30" t="str">
        <x:f>IF('Use Case Register'!A20="","",'Use Case Register'!A20)</x:f>
      </x:c>
      <x:c r="B20" s="30" t="str">
        <x:f>IF('Use Case Register'!B20="","",'Use Case Register'!B20)</x:f>
      </x:c>
      <x:c r="C20" s="23"/>
      <x:c r="D20" s="23"/>
      <x:c r="E20" s="23"/>
      <x:c r="F20" s="23"/>
      <x:c r="G20" s="31" t="str">
        <x:f>IF(COUNT(C20:F20)&lt;4,"",ROUND(AVERAGE(C20:F20),2))</x:f>
      </x:c>
      <x:c r="H20" s="23"/>
      <x:c r="I20" s="23"/>
      <x:c r="J20" s="23"/>
      <x:c r="K20" s="23"/>
      <x:c r="L20" s="23"/>
      <x:c r="M20" s="31" t="str">
        <x:f>IF(COUNT(H20:L20)&lt;5,"",ROUND(AVERAGE(H20:L20),2))</x:f>
      </x:c>
      <x:c r="N20" s="23"/>
      <x:c r="O20" s="23"/>
      <x:c r="P20" s="23"/>
      <x:c r="Q20" s="23"/>
      <x:c r="R20" s="23"/>
      <x:c r="S20" s="23"/>
      <x:c r="T20" s="31" t="str">
        <x:f>IF(COUNT(N20:S20)&lt;6,"",ROUND(AVERAGE(N20:S20),2))</x:f>
      </x:c>
      <x:c r="U20" s="30" t="str">
        <x:f>IF(T20="","",IF(T20&lt;2,"A - Low",IF(T20&lt;3,"B - Moderate",IF(T20&lt;4,"C - High","D - Critical"))))</x:f>
      </x:c>
      <x:c r="V20" s="31" t="str">
        <x:f>IF(OR(G20="",M20="",T20=""),"",ROUND(G20*0.45+M20*0.35+(6-T20)*0.20,2))</x:f>
      </x:c>
      <x:c r="W20" s="30" t="str">
        <x:f>IF(A20="","",IF(COUNT(C20:F20)+COUNT(H20:L20)+COUNT(N20:S20)&lt;15,"Complete screening",IF('Use Case Register'!P20="Yes","Do not advance: prohibited condition",IF(OR(T20&gt;=4,'Use Case Register'!O20="Very high"),"High-risk review",IF(V20&gt;=3.5,"Candidate for gate review",IF(V20&gt;=2.5,"Develop evidence","Defer"))))))</x:f>
      </x:c>
    </x:row>
    <x:row r="21" ht="34" customHeight="1">
      <x:c r="A21" s="30" t="str">
        <x:f>IF('Use Case Register'!A21="","",'Use Case Register'!A21)</x:f>
      </x:c>
      <x:c r="B21" s="30" t="str">
        <x:f>IF('Use Case Register'!B21="","",'Use Case Register'!B21)</x:f>
      </x:c>
      <x:c r="C21" s="23"/>
      <x:c r="D21" s="23"/>
      <x:c r="E21" s="23"/>
      <x:c r="F21" s="23"/>
      <x:c r="G21" s="31" t="str">
        <x:f>IF(COUNT(C21:F21)&lt;4,"",ROUND(AVERAGE(C21:F21),2))</x:f>
      </x:c>
      <x:c r="H21" s="23"/>
      <x:c r="I21" s="23"/>
      <x:c r="J21" s="23"/>
      <x:c r="K21" s="23"/>
      <x:c r="L21" s="23"/>
      <x:c r="M21" s="31" t="str">
        <x:f>IF(COUNT(H21:L21)&lt;5,"",ROUND(AVERAGE(H21:L21),2))</x:f>
      </x:c>
      <x:c r="N21" s="23"/>
      <x:c r="O21" s="23"/>
      <x:c r="P21" s="23"/>
      <x:c r="Q21" s="23"/>
      <x:c r="R21" s="23"/>
      <x:c r="S21" s="23"/>
      <x:c r="T21" s="31" t="str">
        <x:f>IF(COUNT(N21:S21)&lt;6,"",ROUND(AVERAGE(N21:S21),2))</x:f>
      </x:c>
      <x:c r="U21" s="30" t="str">
        <x:f>IF(T21="","",IF(T21&lt;2,"A - Low",IF(T21&lt;3,"B - Moderate",IF(T21&lt;4,"C - High","D - Critical"))))</x:f>
      </x:c>
      <x:c r="V21" s="31" t="str">
        <x:f>IF(OR(G21="",M21="",T21=""),"",ROUND(G21*0.45+M21*0.35+(6-T21)*0.20,2))</x:f>
      </x:c>
      <x:c r="W21" s="30" t="str">
        <x:f>IF(A21="","",IF(COUNT(C21:F21)+COUNT(H21:L21)+COUNT(N21:S21)&lt;15,"Complete screening",IF('Use Case Register'!P21="Yes","Do not advance: prohibited condition",IF(OR(T21&gt;=4,'Use Case Register'!O21="Very high"),"High-risk review",IF(V21&gt;=3.5,"Candidate for gate review",IF(V21&gt;=2.5,"Develop evidence","Defer"))))))</x:f>
      </x:c>
    </x:row>
    <x:row r="22" ht="34" customHeight="1">
      <x:c r="A22" s="30" t="str">
        <x:f>IF('Use Case Register'!A22="","",'Use Case Register'!A22)</x:f>
      </x:c>
      <x:c r="B22" s="30" t="str">
        <x:f>IF('Use Case Register'!B22="","",'Use Case Register'!B22)</x:f>
      </x:c>
      <x:c r="C22" s="23"/>
      <x:c r="D22" s="23"/>
      <x:c r="E22" s="23"/>
      <x:c r="F22" s="23"/>
      <x:c r="G22" s="31" t="str">
        <x:f>IF(COUNT(C22:F22)&lt;4,"",ROUND(AVERAGE(C22:F22),2))</x:f>
      </x:c>
      <x:c r="H22" s="23"/>
      <x:c r="I22" s="23"/>
      <x:c r="J22" s="23"/>
      <x:c r="K22" s="23"/>
      <x:c r="L22" s="23"/>
      <x:c r="M22" s="31" t="str">
        <x:f>IF(COUNT(H22:L22)&lt;5,"",ROUND(AVERAGE(H22:L22),2))</x:f>
      </x:c>
      <x:c r="N22" s="23"/>
      <x:c r="O22" s="23"/>
      <x:c r="P22" s="23"/>
      <x:c r="Q22" s="23"/>
      <x:c r="R22" s="23"/>
      <x:c r="S22" s="23"/>
      <x:c r="T22" s="31" t="str">
        <x:f>IF(COUNT(N22:S22)&lt;6,"",ROUND(AVERAGE(N22:S22),2))</x:f>
      </x:c>
      <x:c r="U22" s="30" t="str">
        <x:f>IF(T22="","",IF(T22&lt;2,"A - Low",IF(T22&lt;3,"B - Moderate",IF(T22&lt;4,"C - High","D - Critical"))))</x:f>
      </x:c>
      <x:c r="V22" s="31" t="str">
        <x:f>IF(OR(G22="",M22="",T22=""),"",ROUND(G22*0.45+M22*0.35+(6-T22)*0.20,2))</x:f>
      </x:c>
      <x:c r="W22" s="30" t="str">
        <x:f>IF(A22="","",IF(COUNT(C22:F22)+COUNT(H22:L22)+COUNT(N22:S22)&lt;15,"Complete screening",IF('Use Case Register'!P22="Yes","Do not advance: prohibited condition",IF(OR(T22&gt;=4,'Use Case Register'!O22="Very high"),"High-risk review",IF(V22&gt;=3.5,"Candidate for gate review",IF(V22&gt;=2.5,"Develop evidence","Defer"))))))</x:f>
      </x:c>
    </x:row>
    <x:row r="23" ht="34" customHeight="1">
      <x:c r="A23" s="30" t="str">
        <x:f>IF('Use Case Register'!A23="","",'Use Case Register'!A23)</x:f>
      </x:c>
      <x:c r="B23" s="30" t="str">
        <x:f>IF('Use Case Register'!B23="","",'Use Case Register'!B23)</x:f>
      </x:c>
      <x:c r="C23" s="23"/>
      <x:c r="D23" s="23"/>
      <x:c r="E23" s="23"/>
      <x:c r="F23" s="23"/>
      <x:c r="G23" s="31" t="str">
        <x:f>IF(COUNT(C23:F23)&lt;4,"",ROUND(AVERAGE(C23:F23),2))</x:f>
      </x:c>
      <x:c r="H23" s="23"/>
      <x:c r="I23" s="23"/>
      <x:c r="J23" s="23"/>
      <x:c r="K23" s="23"/>
      <x:c r="L23" s="23"/>
      <x:c r="M23" s="31" t="str">
        <x:f>IF(COUNT(H23:L23)&lt;5,"",ROUND(AVERAGE(H23:L23),2))</x:f>
      </x:c>
      <x:c r="N23" s="23"/>
      <x:c r="O23" s="23"/>
      <x:c r="P23" s="23"/>
      <x:c r="Q23" s="23"/>
      <x:c r="R23" s="23"/>
      <x:c r="S23" s="23"/>
      <x:c r="T23" s="31" t="str">
        <x:f>IF(COUNT(N23:S23)&lt;6,"",ROUND(AVERAGE(N23:S23),2))</x:f>
      </x:c>
      <x:c r="U23" s="30" t="str">
        <x:f>IF(T23="","",IF(T23&lt;2,"A - Low",IF(T23&lt;3,"B - Moderate",IF(T23&lt;4,"C - High","D - Critical"))))</x:f>
      </x:c>
      <x:c r="V23" s="31" t="str">
        <x:f>IF(OR(G23="",M23="",T23=""),"",ROUND(G23*0.45+M23*0.35+(6-T23)*0.20,2))</x:f>
      </x:c>
      <x:c r="W23" s="30" t="str">
        <x:f>IF(A23="","",IF(COUNT(C23:F23)+COUNT(H23:L23)+COUNT(N23:S23)&lt;15,"Complete screening",IF('Use Case Register'!P23="Yes","Do not advance: prohibited condition",IF(OR(T23&gt;=4,'Use Case Register'!O23="Very high"),"High-risk review",IF(V23&gt;=3.5,"Candidate for gate review",IF(V23&gt;=2.5,"Develop evidence","Defer"))))))</x:f>
      </x:c>
    </x:row>
    <x:row r="24" ht="34" customHeight="1">
      <x:c r="A24" s="30" t="str">
        <x:f>IF('Use Case Register'!A24="","",'Use Case Register'!A24)</x:f>
      </x:c>
      <x:c r="B24" s="30" t="str">
        <x:f>IF('Use Case Register'!B24="","",'Use Case Register'!B24)</x:f>
      </x:c>
      <x:c r="C24" s="23"/>
      <x:c r="D24" s="23"/>
      <x:c r="E24" s="23"/>
      <x:c r="F24" s="23"/>
      <x:c r="G24" s="31" t="str">
        <x:f>IF(COUNT(C24:F24)&lt;4,"",ROUND(AVERAGE(C24:F24),2))</x:f>
      </x:c>
      <x:c r="H24" s="23"/>
      <x:c r="I24" s="23"/>
      <x:c r="J24" s="23"/>
      <x:c r="K24" s="23"/>
      <x:c r="L24" s="23"/>
      <x:c r="M24" s="31" t="str">
        <x:f>IF(COUNT(H24:L24)&lt;5,"",ROUND(AVERAGE(H24:L24),2))</x:f>
      </x:c>
      <x:c r="N24" s="23"/>
      <x:c r="O24" s="23"/>
      <x:c r="P24" s="23"/>
      <x:c r="Q24" s="23"/>
      <x:c r="R24" s="23"/>
      <x:c r="S24" s="23"/>
      <x:c r="T24" s="31" t="str">
        <x:f>IF(COUNT(N24:S24)&lt;6,"",ROUND(AVERAGE(N24:S24),2))</x:f>
      </x:c>
      <x:c r="U24" s="30" t="str">
        <x:f>IF(T24="","",IF(T24&lt;2,"A - Low",IF(T24&lt;3,"B - Moderate",IF(T24&lt;4,"C - High","D - Critical"))))</x:f>
      </x:c>
      <x:c r="V24" s="31" t="str">
        <x:f>IF(OR(G24="",M24="",T24=""),"",ROUND(G24*0.45+M24*0.35+(6-T24)*0.20,2))</x:f>
      </x:c>
      <x:c r="W24" s="30" t="str">
        <x:f>IF(A24="","",IF(COUNT(C24:F24)+COUNT(H24:L24)+COUNT(N24:S24)&lt;15,"Complete screening",IF('Use Case Register'!P24="Yes","Do not advance: prohibited condition",IF(OR(T24&gt;=4,'Use Case Register'!O24="Very high"),"High-risk review",IF(V24&gt;=3.5,"Candidate for gate review",IF(V24&gt;=2.5,"Develop evidence","Defer"))))))</x:f>
      </x:c>
    </x:row>
    <x:row r="25" ht="34" customHeight="1">
      <x:c r="A25" s="30" t="str">
        <x:f>IF('Use Case Register'!A25="","",'Use Case Register'!A25)</x:f>
      </x:c>
      <x:c r="B25" s="30" t="str">
        <x:f>IF('Use Case Register'!B25="","",'Use Case Register'!B25)</x:f>
      </x:c>
      <x:c r="C25" s="23"/>
      <x:c r="D25" s="23"/>
      <x:c r="E25" s="23"/>
      <x:c r="F25" s="23"/>
      <x:c r="G25" s="31" t="str">
        <x:f>IF(COUNT(C25:F25)&lt;4,"",ROUND(AVERAGE(C25:F25),2))</x:f>
      </x:c>
      <x:c r="H25" s="23"/>
      <x:c r="I25" s="23"/>
      <x:c r="J25" s="23"/>
      <x:c r="K25" s="23"/>
      <x:c r="L25" s="23"/>
      <x:c r="M25" s="31" t="str">
        <x:f>IF(COUNT(H25:L25)&lt;5,"",ROUND(AVERAGE(H25:L25),2))</x:f>
      </x:c>
      <x:c r="N25" s="23"/>
      <x:c r="O25" s="23"/>
      <x:c r="P25" s="23"/>
      <x:c r="Q25" s="23"/>
      <x:c r="R25" s="23"/>
      <x:c r="S25" s="23"/>
      <x:c r="T25" s="31" t="str">
        <x:f>IF(COUNT(N25:S25)&lt;6,"",ROUND(AVERAGE(N25:S25),2))</x:f>
      </x:c>
      <x:c r="U25" s="30" t="str">
        <x:f>IF(T25="","",IF(T25&lt;2,"A - Low",IF(T25&lt;3,"B - Moderate",IF(T25&lt;4,"C - High","D - Critical"))))</x:f>
      </x:c>
      <x:c r="V25" s="31" t="str">
        <x:f>IF(OR(G25="",M25="",T25=""),"",ROUND(G25*0.45+M25*0.35+(6-T25)*0.20,2))</x:f>
      </x:c>
      <x:c r="W25" s="30" t="str">
        <x:f>IF(A25="","",IF(COUNT(C25:F25)+COUNT(H25:L25)+COUNT(N25:S25)&lt;15,"Complete screening",IF('Use Case Register'!P25="Yes","Do not advance: prohibited condition",IF(OR(T25&gt;=4,'Use Case Register'!O25="Very high"),"High-risk review",IF(V25&gt;=3.5,"Candidate for gate review",IF(V25&gt;=2.5,"Develop evidence","Defer"))))))</x:f>
      </x:c>
    </x:row>
    <x:row r="26" ht="34" customHeight="1">
      <x:c r="A26" s="30" t="str">
        <x:f>IF('Use Case Register'!A26="","",'Use Case Register'!A26)</x:f>
      </x:c>
      <x:c r="B26" s="30" t="str">
        <x:f>IF('Use Case Register'!B26="","",'Use Case Register'!B26)</x:f>
      </x:c>
      <x:c r="C26" s="23"/>
      <x:c r="D26" s="23"/>
      <x:c r="E26" s="23"/>
      <x:c r="F26" s="23"/>
      <x:c r="G26" s="31" t="str">
        <x:f>IF(COUNT(C26:F26)&lt;4,"",ROUND(AVERAGE(C26:F26),2))</x:f>
      </x:c>
      <x:c r="H26" s="23"/>
      <x:c r="I26" s="23"/>
      <x:c r="J26" s="23"/>
      <x:c r="K26" s="23"/>
      <x:c r="L26" s="23"/>
      <x:c r="M26" s="31" t="str">
        <x:f>IF(COUNT(H26:L26)&lt;5,"",ROUND(AVERAGE(H26:L26),2))</x:f>
      </x:c>
      <x:c r="N26" s="23"/>
      <x:c r="O26" s="23"/>
      <x:c r="P26" s="23"/>
      <x:c r="Q26" s="23"/>
      <x:c r="R26" s="23"/>
      <x:c r="S26" s="23"/>
      <x:c r="T26" s="31" t="str">
        <x:f>IF(COUNT(N26:S26)&lt;6,"",ROUND(AVERAGE(N26:S26),2))</x:f>
      </x:c>
      <x:c r="U26" s="30" t="str">
        <x:f>IF(T26="","",IF(T26&lt;2,"A - Low",IF(T26&lt;3,"B - Moderate",IF(T26&lt;4,"C - High","D - Critical"))))</x:f>
      </x:c>
      <x:c r="V26" s="31" t="str">
        <x:f>IF(OR(G26="",M26="",T26=""),"",ROUND(G26*0.45+M26*0.35+(6-T26)*0.20,2))</x:f>
      </x:c>
      <x:c r="W26" s="30" t="str">
        <x:f>IF(A26="","",IF(COUNT(C26:F26)+COUNT(H26:L26)+COUNT(N26:S26)&lt;15,"Complete screening",IF('Use Case Register'!P26="Yes","Do not advance: prohibited condition",IF(OR(T26&gt;=4,'Use Case Register'!O26="Very high"),"High-risk review",IF(V26&gt;=3.5,"Candidate for gate review",IF(V26&gt;=2.5,"Develop evidence","Defer"))))))</x:f>
      </x:c>
    </x:row>
    <x:row r="27" ht="34" customHeight="1">
      <x:c r="A27" s="30" t="str">
        <x:f>IF('Use Case Register'!A27="","",'Use Case Register'!A27)</x:f>
      </x:c>
      <x:c r="B27" s="30" t="str">
        <x:f>IF('Use Case Register'!B27="","",'Use Case Register'!B27)</x:f>
      </x:c>
      <x:c r="C27" s="23"/>
      <x:c r="D27" s="23"/>
      <x:c r="E27" s="23"/>
      <x:c r="F27" s="23"/>
      <x:c r="G27" s="31" t="str">
        <x:f>IF(COUNT(C27:F27)&lt;4,"",ROUND(AVERAGE(C27:F27),2))</x:f>
      </x:c>
      <x:c r="H27" s="23"/>
      <x:c r="I27" s="23"/>
      <x:c r="J27" s="23"/>
      <x:c r="K27" s="23"/>
      <x:c r="L27" s="23"/>
      <x:c r="M27" s="31" t="str">
        <x:f>IF(COUNT(H27:L27)&lt;5,"",ROUND(AVERAGE(H27:L27),2))</x:f>
      </x:c>
      <x:c r="N27" s="23"/>
      <x:c r="O27" s="23"/>
      <x:c r="P27" s="23"/>
      <x:c r="Q27" s="23"/>
      <x:c r="R27" s="23"/>
      <x:c r="S27" s="23"/>
      <x:c r="T27" s="31" t="str">
        <x:f>IF(COUNT(N27:S27)&lt;6,"",ROUND(AVERAGE(N27:S27),2))</x:f>
      </x:c>
      <x:c r="U27" s="30" t="str">
        <x:f>IF(T27="","",IF(T27&lt;2,"A - Low",IF(T27&lt;3,"B - Moderate",IF(T27&lt;4,"C - High","D - Critical"))))</x:f>
      </x:c>
      <x:c r="V27" s="31" t="str">
        <x:f>IF(OR(G27="",M27="",T27=""),"",ROUND(G27*0.45+M27*0.35+(6-T27)*0.20,2))</x:f>
      </x:c>
      <x:c r="W27" s="30" t="str">
        <x:f>IF(A27="","",IF(COUNT(C27:F27)+COUNT(H27:L27)+COUNT(N27:S27)&lt;15,"Complete screening",IF('Use Case Register'!P27="Yes","Do not advance: prohibited condition",IF(OR(T27&gt;=4,'Use Case Register'!O27="Very high"),"High-risk review",IF(V27&gt;=3.5,"Candidate for gate review",IF(V27&gt;=2.5,"Develop evidence","Defer"))))))</x:f>
      </x:c>
    </x:row>
    <x:row r="28" ht="34" customHeight="1">
      <x:c r="A28" s="30" t="str">
        <x:f>IF('Use Case Register'!A28="","",'Use Case Register'!A28)</x:f>
      </x:c>
      <x:c r="B28" s="30" t="str">
        <x:f>IF('Use Case Register'!B28="","",'Use Case Register'!B28)</x:f>
      </x:c>
      <x:c r="C28" s="23"/>
      <x:c r="D28" s="23"/>
      <x:c r="E28" s="23"/>
      <x:c r="F28" s="23"/>
      <x:c r="G28" s="31" t="str">
        <x:f>IF(COUNT(C28:F28)&lt;4,"",ROUND(AVERAGE(C28:F28),2))</x:f>
      </x:c>
      <x:c r="H28" s="23"/>
      <x:c r="I28" s="23"/>
      <x:c r="J28" s="23"/>
      <x:c r="K28" s="23"/>
      <x:c r="L28" s="23"/>
      <x:c r="M28" s="31" t="str">
        <x:f>IF(COUNT(H28:L28)&lt;5,"",ROUND(AVERAGE(H28:L28),2))</x:f>
      </x:c>
      <x:c r="N28" s="23"/>
      <x:c r="O28" s="23"/>
      <x:c r="P28" s="23"/>
      <x:c r="Q28" s="23"/>
      <x:c r="R28" s="23"/>
      <x:c r="S28" s="23"/>
      <x:c r="T28" s="31" t="str">
        <x:f>IF(COUNT(N28:S28)&lt;6,"",ROUND(AVERAGE(N28:S28),2))</x:f>
      </x:c>
      <x:c r="U28" s="30" t="str">
        <x:f>IF(T28="","",IF(T28&lt;2,"A - Low",IF(T28&lt;3,"B - Moderate",IF(T28&lt;4,"C - High","D - Critical"))))</x:f>
      </x:c>
      <x:c r="V28" s="31" t="str">
        <x:f>IF(OR(G28="",M28="",T28=""),"",ROUND(G28*0.45+M28*0.35+(6-T28)*0.20,2))</x:f>
      </x:c>
      <x:c r="W28" s="30" t="str">
        <x:f>IF(A28="","",IF(COUNT(C28:F28)+COUNT(H28:L28)+COUNT(N28:S28)&lt;15,"Complete screening",IF('Use Case Register'!P28="Yes","Do not advance: prohibited condition",IF(OR(T28&gt;=4,'Use Case Register'!O28="Very high"),"High-risk review",IF(V28&gt;=3.5,"Candidate for gate review",IF(V28&gt;=2.5,"Develop evidence","Defer"))))))</x:f>
      </x:c>
    </x:row>
    <x:row r="29" ht="34" customHeight="1">
      <x:c r="A29" s="30" t="str">
        <x:f>IF('Use Case Register'!A29="","",'Use Case Register'!A29)</x:f>
      </x:c>
      <x:c r="B29" s="30" t="str">
        <x:f>IF('Use Case Register'!B29="","",'Use Case Register'!B29)</x:f>
      </x:c>
      <x:c r="C29" s="23"/>
      <x:c r="D29" s="23"/>
      <x:c r="E29" s="23"/>
      <x:c r="F29" s="23"/>
      <x:c r="G29" s="31" t="str">
        <x:f>IF(COUNT(C29:F29)&lt;4,"",ROUND(AVERAGE(C29:F29),2))</x:f>
      </x:c>
      <x:c r="H29" s="23"/>
      <x:c r="I29" s="23"/>
      <x:c r="J29" s="23"/>
      <x:c r="K29" s="23"/>
      <x:c r="L29" s="23"/>
      <x:c r="M29" s="31" t="str">
        <x:f>IF(COUNT(H29:L29)&lt;5,"",ROUND(AVERAGE(H29:L29),2))</x:f>
      </x:c>
      <x:c r="N29" s="23"/>
      <x:c r="O29" s="23"/>
      <x:c r="P29" s="23"/>
      <x:c r="Q29" s="23"/>
      <x:c r="R29" s="23"/>
      <x:c r="S29" s="23"/>
      <x:c r="T29" s="31" t="str">
        <x:f>IF(COUNT(N29:S29)&lt;6,"",ROUND(AVERAGE(N29:S29),2))</x:f>
      </x:c>
      <x:c r="U29" s="30" t="str">
        <x:f>IF(T29="","",IF(T29&lt;2,"A - Low",IF(T29&lt;3,"B - Moderate",IF(T29&lt;4,"C - High","D - Critical"))))</x:f>
      </x:c>
      <x:c r="V29" s="31" t="str">
        <x:f>IF(OR(G29="",M29="",T29=""),"",ROUND(G29*0.45+M29*0.35+(6-T29)*0.20,2))</x:f>
      </x:c>
      <x:c r="W29" s="30" t="str">
        <x:f>IF(A29="","",IF(COUNT(C29:F29)+COUNT(H29:L29)+COUNT(N29:S29)&lt;15,"Complete screening",IF('Use Case Register'!P29="Yes","Do not advance: prohibited condition",IF(OR(T29&gt;=4,'Use Case Register'!O29="Very high"),"High-risk review",IF(V29&gt;=3.5,"Candidate for gate review",IF(V29&gt;=2.5,"Develop evidence","Defer"))))))</x:f>
      </x:c>
    </x:row>
    <x:row r="30" ht="34" customHeight="1">
      <x:c r="A30" s="30" t="str">
        <x:f>IF('Use Case Register'!A30="","",'Use Case Register'!A30)</x:f>
      </x:c>
      <x:c r="B30" s="30" t="str">
        <x:f>IF('Use Case Register'!B30="","",'Use Case Register'!B30)</x:f>
      </x:c>
      <x:c r="C30" s="23"/>
      <x:c r="D30" s="23"/>
      <x:c r="E30" s="23"/>
      <x:c r="F30" s="23"/>
      <x:c r="G30" s="31" t="str">
        <x:f>IF(COUNT(C30:F30)&lt;4,"",ROUND(AVERAGE(C30:F30),2))</x:f>
      </x:c>
      <x:c r="H30" s="23"/>
      <x:c r="I30" s="23"/>
      <x:c r="J30" s="23"/>
      <x:c r="K30" s="23"/>
      <x:c r="L30" s="23"/>
      <x:c r="M30" s="31" t="str">
        <x:f>IF(COUNT(H30:L30)&lt;5,"",ROUND(AVERAGE(H30:L30),2))</x:f>
      </x:c>
      <x:c r="N30" s="23"/>
      <x:c r="O30" s="23"/>
      <x:c r="P30" s="23"/>
      <x:c r="Q30" s="23"/>
      <x:c r="R30" s="23"/>
      <x:c r="S30" s="23"/>
      <x:c r="T30" s="31" t="str">
        <x:f>IF(COUNT(N30:S30)&lt;6,"",ROUND(AVERAGE(N30:S30),2))</x:f>
      </x:c>
      <x:c r="U30" s="30" t="str">
        <x:f>IF(T30="","",IF(T30&lt;2,"A - Low",IF(T30&lt;3,"B - Moderate",IF(T30&lt;4,"C - High","D - Critical"))))</x:f>
      </x:c>
      <x:c r="V30" s="31" t="str">
        <x:f>IF(OR(G30="",M30="",T30=""),"",ROUND(G30*0.45+M30*0.35+(6-T30)*0.20,2))</x:f>
      </x:c>
      <x:c r="W30" s="30" t="str">
        <x:f>IF(A30="","",IF(COUNT(C30:F30)+COUNT(H30:L30)+COUNT(N30:S30)&lt;15,"Complete screening",IF('Use Case Register'!P30="Yes","Do not advance: prohibited condition",IF(OR(T30&gt;=4,'Use Case Register'!O30="Very high"),"High-risk review",IF(V30&gt;=3.5,"Candidate for gate review",IF(V30&gt;=2.5,"Develop evidence","Defer"))))))</x:f>
      </x:c>
    </x:row>
    <x:row r="31" ht="34" customHeight="1">
      <x:c r="A31" s="30" t="str">
        <x:f>IF('Use Case Register'!A31="","",'Use Case Register'!A31)</x:f>
      </x:c>
      <x:c r="B31" s="30" t="str">
        <x:f>IF('Use Case Register'!B31="","",'Use Case Register'!B31)</x:f>
      </x:c>
      <x:c r="C31" s="23"/>
      <x:c r="D31" s="23"/>
      <x:c r="E31" s="23"/>
      <x:c r="F31" s="23"/>
      <x:c r="G31" s="31" t="str">
        <x:f>IF(COUNT(C31:F31)&lt;4,"",ROUND(AVERAGE(C31:F31),2))</x:f>
      </x:c>
      <x:c r="H31" s="23"/>
      <x:c r="I31" s="23"/>
      <x:c r="J31" s="23"/>
      <x:c r="K31" s="23"/>
      <x:c r="L31" s="23"/>
      <x:c r="M31" s="31" t="str">
        <x:f>IF(COUNT(H31:L31)&lt;5,"",ROUND(AVERAGE(H31:L31),2))</x:f>
      </x:c>
      <x:c r="N31" s="23"/>
      <x:c r="O31" s="23"/>
      <x:c r="P31" s="23"/>
      <x:c r="Q31" s="23"/>
      <x:c r="R31" s="23"/>
      <x:c r="S31" s="23"/>
      <x:c r="T31" s="31" t="str">
        <x:f>IF(COUNT(N31:S31)&lt;6,"",ROUND(AVERAGE(N31:S31),2))</x:f>
      </x:c>
      <x:c r="U31" s="30" t="str">
        <x:f>IF(T31="","",IF(T31&lt;2,"A - Low",IF(T31&lt;3,"B - Moderate",IF(T31&lt;4,"C - High","D - Critical"))))</x:f>
      </x:c>
      <x:c r="V31" s="31" t="str">
        <x:f>IF(OR(G31="",M31="",T31=""),"",ROUND(G31*0.45+M31*0.35+(6-T31)*0.20,2))</x:f>
      </x:c>
      <x:c r="W31" s="30" t="str">
        <x:f>IF(A31="","",IF(COUNT(C31:F31)+COUNT(H31:L31)+COUNT(N31:S31)&lt;15,"Complete screening",IF('Use Case Register'!P31="Yes","Do not advance: prohibited condition",IF(OR(T31&gt;=4,'Use Case Register'!O31="Very high"),"High-risk review",IF(V31&gt;=3.5,"Candidate for gate review",IF(V31&gt;=2.5,"Develop evidence","Defer"))))))</x:f>
      </x:c>
    </x:row>
    <x:row r="32" ht="34" customHeight="1">
      <x:c r="A32" s="30" t="str">
        <x:f>IF('Use Case Register'!A32="","",'Use Case Register'!A32)</x:f>
      </x:c>
      <x:c r="B32" s="30" t="str">
        <x:f>IF('Use Case Register'!B32="","",'Use Case Register'!B32)</x:f>
      </x:c>
      <x:c r="C32" s="23"/>
      <x:c r="D32" s="23"/>
      <x:c r="E32" s="23"/>
      <x:c r="F32" s="23"/>
      <x:c r="G32" s="31" t="str">
        <x:f>IF(COUNT(C32:F32)&lt;4,"",ROUND(AVERAGE(C32:F32),2))</x:f>
      </x:c>
      <x:c r="H32" s="23"/>
      <x:c r="I32" s="23"/>
      <x:c r="J32" s="23"/>
      <x:c r="K32" s="23"/>
      <x:c r="L32" s="23"/>
      <x:c r="M32" s="31" t="str">
        <x:f>IF(COUNT(H32:L32)&lt;5,"",ROUND(AVERAGE(H32:L32),2))</x:f>
      </x:c>
      <x:c r="N32" s="23"/>
      <x:c r="O32" s="23"/>
      <x:c r="P32" s="23"/>
      <x:c r="Q32" s="23"/>
      <x:c r="R32" s="23"/>
      <x:c r="S32" s="23"/>
      <x:c r="T32" s="31" t="str">
        <x:f>IF(COUNT(N32:S32)&lt;6,"",ROUND(AVERAGE(N32:S32),2))</x:f>
      </x:c>
      <x:c r="U32" s="30" t="str">
        <x:f>IF(T32="","",IF(T32&lt;2,"A - Low",IF(T32&lt;3,"B - Moderate",IF(T32&lt;4,"C - High","D - Critical"))))</x:f>
      </x:c>
      <x:c r="V32" s="31" t="str">
        <x:f>IF(OR(G32="",M32="",T32=""),"",ROUND(G32*0.45+M32*0.35+(6-T32)*0.20,2))</x:f>
      </x:c>
      <x:c r="W32" s="30" t="str">
        <x:f>IF(A32="","",IF(COUNT(C32:F32)+COUNT(H32:L32)+COUNT(N32:S32)&lt;15,"Complete screening",IF('Use Case Register'!P32="Yes","Do not advance: prohibited condition",IF(OR(T32&gt;=4,'Use Case Register'!O32="Very high"),"High-risk review",IF(V32&gt;=3.5,"Candidate for gate review",IF(V32&gt;=2.5,"Develop evidence","Defer"))))))</x:f>
      </x:c>
    </x:row>
    <x:row r="33" ht="34" customHeight="1">
      <x:c r="A33" s="30" t="str">
        <x:f>IF('Use Case Register'!A33="","",'Use Case Register'!A33)</x:f>
      </x:c>
      <x:c r="B33" s="30" t="str">
        <x:f>IF('Use Case Register'!B33="","",'Use Case Register'!B33)</x:f>
      </x:c>
      <x:c r="C33" s="23"/>
      <x:c r="D33" s="23"/>
      <x:c r="E33" s="23"/>
      <x:c r="F33" s="23"/>
      <x:c r="G33" s="31" t="str">
        <x:f>IF(COUNT(C33:F33)&lt;4,"",ROUND(AVERAGE(C33:F33),2))</x:f>
      </x:c>
      <x:c r="H33" s="23"/>
      <x:c r="I33" s="23"/>
      <x:c r="J33" s="23"/>
      <x:c r="K33" s="23"/>
      <x:c r="L33" s="23"/>
      <x:c r="M33" s="31" t="str">
        <x:f>IF(COUNT(H33:L33)&lt;5,"",ROUND(AVERAGE(H33:L33),2))</x:f>
      </x:c>
      <x:c r="N33" s="23"/>
      <x:c r="O33" s="23"/>
      <x:c r="P33" s="23"/>
      <x:c r="Q33" s="23"/>
      <x:c r="R33" s="23"/>
      <x:c r="S33" s="23"/>
      <x:c r="T33" s="31" t="str">
        <x:f>IF(COUNT(N33:S33)&lt;6,"",ROUND(AVERAGE(N33:S33),2))</x:f>
      </x:c>
      <x:c r="U33" s="30" t="str">
        <x:f>IF(T33="","",IF(T33&lt;2,"A - Low",IF(T33&lt;3,"B - Moderate",IF(T33&lt;4,"C - High","D - Critical"))))</x:f>
      </x:c>
      <x:c r="V33" s="31" t="str">
        <x:f>IF(OR(G33="",M33="",T33=""),"",ROUND(G33*0.45+M33*0.35+(6-T33)*0.20,2))</x:f>
      </x:c>
      <x:c r="W33" s="30" t="str">
        <x:f>IF(A33="","",IF(COUNT(C33:F33)+COUNT(H33:L33)+COUNT(N33:S33)&lt;15,"Complete screening",IF('Use Case Register'!P33="Yes","Do not advance: prohibited condition",IF(OR(T33&gt;=4,'Use Case Register'!O33="Very high"),"High-risk review",IF(V33&gt;=3.5,"Candidate for gate review",IF(V33&gt;=2.5,"Develop evidence","Defer"))))))</x:f>
      </x:c>
    </x:row>
    <x:row r="34" ht="34" customHeight="1">
      <x:c r="A34" s="32" t="str">
        <x:f>IF('Use Case Register'!A34="","",'Use Case Register'!A34)</x:f>
      </x:c>
      <x:c r="B34" s="32" t="str">
        <x:f>IF('Use Case Register'!B34="","",'Use Case Register'!B34)</x:f>
      </x:c>
      <x:c r="C34" s="26"/>
      <x:c r="D34" s="26"/>
      <x:c r="E34" s="26"/>
      <x:c r="F34" s="26"/>
      <x:c r="G34" s="33" t="str">
        <x:f>IF(COUNT(C34:F34)&lt;4,"",ROUND(AVERAGE(C34:F34),2))</x:f>
      </x:c>
      <x:c r="H34" s="26"/>
      <x:c r="I34" s="26"/>
      <x:c r="J34" s="26"/>
      <x:c r="K34" s="26"/>
      <x:c r="L34" s="26"/>
      <x:c r="M34" s="33" t="str">
        <x:f>IF(COUNT(H34:L34)&lt;5,"",ROUND(AVERAGE(H34:L34),2))</x:f>
      </x:c>
      <x:c r="N34" s="26"/>
      <x:c r="O34" s="26"/>
      <x:c r="P34" s="26"/>
      <x:c r="Q34" s="26"/>
      <x:c r="R34" s="26"/>
      <x:c r="S34" s="26"/>
      <x:c r="T34" s="33" t="str">
        <x:f>IF(COUNT(N34:S34)&lt;6,"",ROUND(AVERAGE(N34:S34),2))</x:f>
      </x:c>
      <x:c r="U34" s="32" t="str">
        <x:f>IF(T34="","",IF(T34&lt;2,"A - Low",IF(T34&lt;3,"B - Moderate",IF(T34&lt;4,"C - High","D - Critical"))))</x:f>
      </x:c>
      <x:c r="V34" s="33" t="str">
        <x:f>IF(OR(G34="",M34="",T34=""),"",ROUND(G34*0.45+M34*0.35+(6-T34)*0.20,2))</x:f>
      </x:c>
      <x:c r="W34" s="32" t="str">
        <x:f>IF(A34="","",IF(COUNT(C34:F34)+COUNT(H34:L34)+COUNT(N34:S34)&lt;15,"Complete screening",IF('Use Case Register'!P34="Yes","Do not advance: prohibited condition",IF(OR(T34&gt;=4,'Use Case Register'!O34="Very high"),"High-risk review",IF(V34&gt;=3.5,"Candidate for gate review",IF(V34&gt;=2.5,"Develop evidence","Defer"))))))</x:f>
      </x:c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</x:row>
  </x:sheetData>
  <x:mergeCells>
    <x:mergeCell ref="A2:W2"/>
  </x:mergeCells>
  <x:conditionalFormatting sqref="T5:T34">
    <x:cfRule type="colorScale" priority="1">
      <x:colorScale>
        <x:cfvo type="min"/>
        <x:cfvo type="percentile" val="50"/>
        <x:cfvo type="max"/>
        <x:color rgb="FFE2F0D9"/>
        <x:color rgb="FFFFF2CC"/>
        <x:color rgb="FFFCE8E6"/>
      </x:colorScale>
    </x:cfRule>
  </x:conditionalFormatting>
  <x:dataValidations count="3">
    <x:dataValidation type="whole" operator="between" sqref="C5:F34">
      <x:formula1>1</x:formula1>
      <x:formula2>5</x:formula2>
    </x:dataValidation>
    <x:dataValidation type="whole" operator="between" sqref="H5:L34">
      <x:formula1>1</x:formula1>
      <x:formula2>5</x:formula2>
    </x:dataValidation>
    <x:dataValidation type="whole" operator="between" sqref="N5:S34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22" hidden="0" customWidth="1"/>
    <x:col min="4" max="4" width="24" hidden="0" customWidth="1"/>
    <x:col min="5" max="5" width="27" hidden="0" customWidth="1"/>
    <x:col min="6" max="6" width="26" hidden="0" customWidth="1"/>
    <x:col min="7" max="7" width="25" hidden="0" customWidth="1"/>
    <x:col min="8" max="8" width="25" hidden="0" customWidth="1"/>
    <x:col min="9" max="9" width="22" hidden="0" customWidth="1"/>
    <x:col min="10" max="10" width="14" hidden="0" customWidth="1"/>
    <x:col min="11" max="11" width="14" hidden="0" customWidth="1"/>
    <x:col min="12" max="12" width="25" hidden="0" customWidth="1"/>
    <x:col min="13" max="13" width="3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5" t="str">
        <x:v>Readiness gates: mandatory clearance before a controlled pilot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42" customHeight="1">
      <x:c r="A4" s="18" t="str">
        <x:v>Use case ID</x:v>
      </x:c>
      <x:c r="B4" s="19" t="str">
        <x:v>Title</x:v>
      </x:c>
      <x:c r="C4" s="19" t="str">
        <x:v>G1 Mandate and accountable owner</x:v>
      </x:c>
      <x:c r="D4" s="19" t="str">
        <x:v>G2 Approved data access and privacy</x:v>
      </x:c>
      <x:c r="E4" s="19" t="str">
        <x:v>G3 Methodological benchmark and validation plan</x:v>
      </x:c>
      <x:c r="F4" s="19" t="str">
        <x:v>G4 Security and approved technical environment</x:v>
      </x:c>
      <x:c r="G4" s="19" t="str">
        <x:v>G5 Human oversight and release authority</x:v>
      </x:c>
      <x:c r="H4" s="19" t="str">
        <x:v>G6 Monitoring, incident and exit plan</x:v>
      </x:c>
      <x:c r="I4" s="19" t="str">
        <x:v>G7 Resources and sustainability</x:v>
      </x:c>
      <x:c r="J4" s="19" t="str">
        <x:v>Not met count</x:v>
      </x:c>
      <x:c r="K4" s="19" t="str">
        <x:v>Conditional count</x:v>
      </x:c>
      <x:c r="L4" s="19" t="str">
        <x:v>Gate decision</x:v>
      </x:c>
      <x:c r="M4" s="20" t="str">
        <x:v>Reviewer note / evidence reference</x:v>
      </x:c>
    </x:row>
    <x:row r="5" ht="42" customHeight="1">
      <x:c r="A5" s="30" t="str">
        <x:f>IF('Use Case Register'!A5="","",'Use Case Register'!A5)</x:f>
      </x:c>
      <x:c r="B5" s="30" t="str">
        <x:f>IF('Use Case Register'!B5="","",'Use Case Register'!B5)</x:f>
      </x:c>
      <x:c r="C5" s="23"/>
      <x:c r="D5" s="23"/>
      <x:c r="E5" s="23"/>
      <x:c r="F5" s="23"/>
      <x:c r="G5" s="23"/>
      <x:c r="H5" s="23"/>
      <x:c r="I5" s="23"/>
      <x:c r="J5" s="30" t="str">
        <x:f>IF(A5="","",COUNTIF(C5:I5,"Not met"))</x:f>
      </x:c>
      <x:c r="K5" s="30" t="str">
        <x:f>IF(A5="","",COUNTIF(C5:I5,"Conditional"))</x:f>
      </x:c>
      <x:c r="L5" s="30" t="str">
        <x:f>IF(A5="","",IF(COUNTA(C5:I5)&lt;7,"Incomplete",IF(OR('Use Case Register'!P5="Yes",J5&gt;0),"Do not proceed",IF(K5&gt;0,"Proceed conditionally","Proceed to controlled experiment"))))</x:f>
      </x:c>
      <x:c r="M5" s="23"/>
    </x:row>
    <x:row r="6" ht="42" customHeight="1">
      <x:c r="A6" s="30" t="str">
        <x:f>IF('Use Case Register'!A6="","",'Use Case Register'!A6)</x:f>
      </x:c>
      <x:c r="B6" s="30" t="str">
        <x:f>IF('Use Case Register'!B6="","",'Use Case Register'!B6)</x:f>
      </x:c>
      <x:c r="C6" s="23"/>
      <x:c r="D6" s="23"/>
      <x:c r="E6" s="23"/>
      <x:c r="F6" s="23"/>
      <x:c r="G6" s="23"/>
      <x:c r="H6" s="23"/>
      <x:c r="I6" s="23"/>
      <x:c r="J6" s="30" t="str">
        <x:f>IF(A6="","",COUNTIF(C6:I6,"Not met"))</x:f>
      </x:c>
      <x:c r="K6" s="30" t="str">
        <x:f>IF(A6="","",COUNTIF(C6:I6,"Conditional"))</x:f>
      </x:c>
      <x:c r="L6" s="30" t="str">
        <x:f>IF(A6="","",IF(COUNTA(C6:I6)&lt;7,"Incomplete",IF(OR('Use Case Register'!P6="Yes",J6&gt;0),"Do not proceed",IF(K6&gt;0,"Proceed conditionally","Proceed to controlled experiment"))))</x:f>
      </x:c>
      <x:c r="M6" s="23"/>
    </x:row>
    <x:row r="7" ht="42" customHeight="1">
      <x:c r="A7" s="30" t="str">
        <x:f>IF('Use Case Register'!A7="","",'Use Case Register'!A7)</x:f>
      </x:c>
      <x:c r="B7" s="30" t="str">
        <x:f>IF('Use Case Register'!B7="","",'Use Case Register'!B7)</x:f>
      </x:c>
      <x:c r="C7" s="23"/>
      <x:c r="D7" s="23"/>
      <x:c r="E7" s="23"/>
      <x:c r="F7" s="23"/>
      <x:c r="G7" s="23"/>
      <x:c r="H7" s="23"/>
      <x:c r="I7" s="23"/>
      <x:c r="J7" s="30" t="str">
        <x:f>IF(A7="","",COUNTIF(C7:I7,"Not met"))</x:f>
      </x:c>
      <x:c r="K7" s="30" t="str">
        <x:f>IF(A7="","",COUNTIF(C7:I7,"Conditional"))</x:f>
      </x:c>
      <x:c r="L7" s="30" t="str">
        <x:f>IF(A7="","",IF(COUNTA(C7:I7)&lt;7,"Incomplete",IF(OR('Use Case Register'!P7="Yes",J7&gt;0),"Do not proceed",IF(K7&gt;0,"Proceed conditionally","Proceed to controlled experiment"))))</x:f>
      </x:c>
      <x:c r="M7" s="23"/>
    </x:row>
    <x:row r="8" ht="42" customHeight="1">
      <x:c r="A8" s="30" t="str">
        <x:f>IF('Use Case Register'!A8="","",'Use Case Register'!A8)</x:f>
      </x:c>
      <x:c r="B8" s="30" t="str">
        <x:f>IF('Use Case Register'!B8="","",'Use Case Register'!B8)</x:f>
      </x:c>
      <x:c r="C8" s="23"/>
      <x:c r="D8" s="23"/>
      <x:c r="E8" s="23"/>
      <x:c r="F8" s="23"/>
      <x:c r="G8" s="23"/>
      <x:c r="H8" s="23"/>
      <x:c r="I8" s="23"/>
      <x:c r="J8" s="30" t="str">
        <x:f>IF(A8="","",COUNTIF(C8:I8,"Not met"))</x:f>
      </x:c>
      <x:c r="K8" s="30" t="str">
        <x:f>IF(A8="","",COUNTIF(C8:I8,"Conditional"))</x:f>
      </x:c>
      <x:c r="L8" s="30" t="str">
        <x:f>IF(A8="","",IF(COUNTA(C8:I8)&lt;7,"Incomplete",IF(OR('Use Case Register'!P8="Yes",J8&gt;0),"Do not proceed",IF(K8&gt;0,"Proceed conditionally","Proceed to controlled experiment"))))</x:f>
      </x:c>
      <x:c r="M8" s="23"/>
    </x:row>
    <x:row r="9" ht="42" customHeight="1">
      <x:c r="A9" s="30" t="str">
        <x:f>IF('Use Case Register'!A9="","",'Use Case Register'!A9)</x:f>
      </x:c>
      <x:c r="B9" s="30" t="str">
        <x:f>IF('Use Case Register'!B9="","",'Use Case Register'!B9)</x:f>
      </x:c>
      <x:c r="C9" s="23"/>
      <x:c r="D9" s="23"/>
      <x:c r="E9" s="23"/>
      <x:c r="F9" s="23"/>
      <x:c r="G9" s="23"/>
      <x:c r="H9" s="23"/>
      <x:c r="I9" s="23"/>
      <x:c r="J9" s="30" t="str">
        <x:f>IF(A9="","",COUNTIF(C9:I9,"Not met"))</x:f>
      </x:c>
      <x:c r="K9" s="30" t="str">
        <x:f>IF(A9="","",COUNTIF(C9:I9,"Conditional"))</x:f>
      </x:c>
      <x:c r="L9" s="30" t="str">
        <x:f>IF(A9="","",IF(COUNTA(C9:I9)&lt;7,"Incomplete",IF(OR('Use Case Register'!P9="Yes",J9&gt;0),"Do not proceed",IF(K9&gt;0,"Proceed conditionally","Proceed to controlled experiment"))))</x:f>
      </x:c>
      <x:c r="M9" s="23"/>
    </x:row>
    <x:row r="10" ht="42" customHeight="1">
      <x:c r="A10" s="30" t="str">
        <x:f>IF('Use Case Register'!A10="","",'Use Case Register'!A10)</x:f>
      </x:c>
      <x:c r="B10" s="30" t="str">
        <x:f>IF('Use Case Register'!B10="","",'Use Case Register'!B10)</x:f>
      </x:c>
      <x:c r="C10" s="23"/>
      <x:c r="D10" s="23"/>
      <x:c r="E10" s="23"/>
      <x:c r="F10" s="23"/>
      <x:c r="G10" s="23"/>
      <x:c r="H10" s="23"/>
      <x:c r="I10" s="23"/>
      <x:c r="J10" s="30" t="str">
        <x:f>IF(A10="","",COUNTIF(C10:I10,"Not met"))</x:f>
      </x:c>
      <x:c r="K10" s="30" t="str">
        <x:f>IF(A10="","",COUNTIF(C10:I10,"Conditional"))</x:f>
      </x:c>
      <x:c r="L10" s="30" t="str">
        <x:f>IF(A10="","",IF(COUNTA(C10:I10)&lt;7,"Incomplete",IF(OR('Use Case Register'!P10="Yes",J10&gt;0),"Do not proceed",IF(K10&gt;0,"Proceed conditionally","Proceed to controlled experiment"))))</x:f>
      </x:c>
      <x:c r="M10" s="23"/>
    </x:row>
    <x:row r="11" ht="42" customHeight="1">
      <x:c r="A11" s="30" t="str">
        <x:f>IF('Use Case Register'!A11="","",'Use Case Register'!A11)</x:f>
      </x:c>
      <x:c r="B11" s="30" t="str">
        <x:f>IF('Use Case Register'!B11="","",'Use Case Register'!B11)</x:f>
      </x:c>
      <x:c r="C11" s="23"/>
      <x:c r="D11" s="23"/>
      <x:c r="E11" s="23"/>
      <x:c r="F11" s="23"/>
      <x:c r="G11" s="23"/>
      <x:c r="H11" s="23"/>
      <x:c r="I11" s="23"/>
      <x:c r="J11" s="30" t="str">
        <x:f>IF(A11="","",COUNTIF(C11:I11,"Not met"))</x:f>
      </x:c>
      <x:c r="K11" s="30" t="str">
        <x:f>IF(A11="","",COUNTIF(C11:I11,"Conditional"))</x:f>
      </x:c>
      <x:c r="L11" s="30" t="str">
        <x:f>IF(A11="","",IF(COUNTA(C11:I11)&lt;7,"Incomplete",IF(OR('Use Case Register'!P11="Yes",J11&gt;0),"Do not proceed",IF(K11&gt;0,"Proceed conditionally","Proceed to controlled experiment"))))</x:f>
      </x:c>
      <x:c r="M11" s="23"/>
    </x:row>
    <x:row r="12" ht="42" customHeight="1">
      <x:c r="A12" s="30" t="str">
        <x:f>IF('Use Case Register'!A12="","",'Use Case Register'!A12)</x:f>
      </x:c>
      <x:c r="B12" s="30" t="str">
        <x:f>IF('Use Case Register'!B12="","",'Use Case Register'!B12)</x:f>
      </x:c>
      <x:c r="C12" s="23"/>
      <x:c r="D12" s="23"/>
      <x:c r="E12" s="23"/>
      <x:c r="F12" s="23"/>
      <x:c r="G12" s="23"/>
      <x:c r="H12" s="23"/>
      <x:c r="I12" s="23"/>
      <x:c r="J12" s="30" t="str">
        <x:f>IF(A12="","",COUNTIF(C12:I12,"Not met"))</x:f>
      </x:c>
      <x:c r="K12" s="30" t="str">
        <x:f>IF(A12="","",COUNTIF(C12:I12,"Conditional"))</x:f>
      </x:c>
      <x:c r="L12" s="30" t="str">
        <x:f>IF(A12="","",IF(COUNTA(C12:I12)&lt;7,"Incomplete",IF(OR('Use Case Register'!P12="Yes",J12&gt;0),"Do not proceed",IF(K12&gt;0,"Proceed conditionally","Proceed to controlled experiment"))))</x:f>
      </x:c>
      <x:c r="M12" s="23"/>
    </x:row>
    <x:row r="13" ht="42" customHeight="1">
      <x:c r="A13" s="30" t="str">
        <x:f>IF('Use Case Register'!A13="","",'Use Case Register'!A13)</x:f>
      </x:c>
      <x:c r="B13" s="30" t="str">
        <x:f>IF('Use Case Register'!B13="","",'Use Case Register'!B13)</x:f>
      </x:c>
      <x:c r="C13" s="23"/>
      <x:c r="D13" s="23"/>
      <x:c r="E13" s="23"/>
      <x:c r="F13" s="23"/>
      <x:c r="G13" s="23"/>
      <x:c r="H13" s="23"/>
      <x:c r="I13" s="23"/>
      <x:c r="J13" s="30" t="str">
        <x:f>IF(A13="","",COUNTIF(C13:I13,"Not met"))</x:f>
      </x:c>
      <x:c r="K13" s="30" t="str">
        <x:f>IF(A13="","",COUNTIF(C13:I13,"Conditional"))</x:f>
      </x:c>
      <x:c r="L13" s="30" t="str">
        <x:f>IF(A13="","",IF(COUNTA(C13:I13)&lt;7,"Incomplete",IF(OR('Use Case Register'!P13="Yes",J13&gt;0),"Do not proceed",IF(K13&gt;0,"Proceed conditionally","Proceed to controlled experiment"))))</x:f>
      </x:c>
      <x:c r="M13" s="23"/>
    </x:row>
    <x:row r="14" ht="42" customHeight="1">
      <x:c r="A14" s="30" t="str">
        <x:f>IF('Use Case Register'!A14="","",'Use Case Register'!A14)</x:f>
      </x:c>
      <x:c r="B14" s="30" t="str">
        <x:f>IF('Use Case Register'!B14="","",'Use Case Register'!B14)</x:f>
      </x:c>
      <x:c r="C14" s="23"/>
      <x:c r="D14" s="23"/>
      <x:c r="E14" s="23"/>
      <x:c r="F14" s="23"/>
      <x:c r="G14" s="23"/>
      <x:c r="H14" s="23"/>
      <x:c r="I14" s="23"/>
      <x:c r="J14" s="30" t="str">
        <x:f>IF(A14="","",COUNTIF(C14:I14,"Not met"))</x:f>
      </x:c>
      <x:c r="K14" s="30" t="str">
        <x:f>IF(A14="","",COUNTIF(C14:I14,"Conditional"))</x:f>
      </x:c>
      <x:c r="L14" s="30" t="str">
        <x:f>IF(A14="","",IF(COUNTA(C14:I14)&lt;7,"Incomplete",IF(OR('Use Case Register'!P14="Yes",J14&gt;0),"Do not proceed",IF(K14&gt;0,"Proceed conditionally","Proceed to controlled experiment"))))</x:f>
      </x:c>
      <x:c r="M14" s="23"/>
    </x:row>
    <x:row r="15" ht="42" customHeight="1">
      <x:c r="A15" s="30" t="str">
        <x:f>IF('Use Case Register'!A15="","",'Use Case Register'!A15)</x:f>
      </x:c>
      <x:c r="B15" s="30" t="str">
        <x:f>IF('Use Case Register'!B15="","",'Use Case Register'!B15)</x:f>
      </x:c>
      <x:c r="C15" s="23"/>
      <x:c r="D15" s="23"/>
      <x:c r="E15" s="23"/>
      <x:c r="F15" s="23"/>
      <x:c r="G15" s="23"/>
      <x:c r="H15" s="23"/>
      <x:c r="I15" s="23"/>
      <x:c r="J15" s="30" t="str">
        <x:f>IF(A15="","",COUNTIF(C15:I15,"Not met"))</x:f>
      </x:c>
      <x:c r="K15" s="30" t="str">
        <x:f>IF(A15="","",COUNTIF(C15:I15,"Conditional"))</x:f>
      </x:c>
      <x:c r="L15" s="30" t="str">
        <x:f>IF(A15="","",IF(COUNTA(C15:I15)&lt;7,"Incomplete",IF(OR('Use Case Register'!P15="Yes",J15&gt;0),"Do not proceed",IF(K15&gt;0,"Proceed conditionally","Proceed to controlled experiment"))))</x:f>
      </x:c>
      <x:c r="M15" s="23"/>
    </x:row>
    <x:row r="16" ht="42" customHeight="1">
      <x:c r="A16" s="30" t="str">
        <x:f>IF('Use Case Register'!A16="","",'Use Case Register'!A16)</x:f>
      </x:c>
      <x:c r="B16" s="30" t="str">
        <x:f>IF('Use Case Register'!B16="","",'Use Case Register'!B16)</x:f>
      </x:c>
      <x:c r="C16" s="23"/>
      <x:c r="D16" s="23"/>
      <x:c r="E16" s="23"/>
      <x:c r="F16" s="23"/>
      <x:c r="G16" s="23"/>
      <x:c r="H16" s="23"/>
      <x:c r="I16" s="23"/>
      <x:c r="J16" s="30" t="str">
        <x:f>IF(A16="","",COUNTIF(C16:I16,"Not met"))</x:f>
      </x:c>
      <x:c r="K16" s="30" t="str">
        <x:f>IF(A16="","",COUNTIF(C16:I16,"Conditional"))</x:f>
      </x:c>
      <x:c r="L16" s="30" t="str">
        <x:f>IF(A16="","",IF(COUNTA(C16:I16)&lt;7,"Incomplete",IF(OR('Use Case Register'!P16="Yes",J16&gt;0),"Do not proceed",IF(K16&gt;0,"Proceed conditionally","Proceed to controlled experiment"))))</x:f>
      </x:c>
      <x:c r="M16" s="23"/>
    </x:row>
    <x:row r="17" ht="42" customHeight="1">
      <x:c r="A17" s="30" t="str">
        <x:f>IF('Use Case Register'!A17="","",'Use Case Register'!A17)</x:f>
      </x:c>
      <x:c r="B17" s="30" t="str">
        <x:f>IF('Use Case Register'!B17="","",'Use Case Register'!B17)</x:f>
      </x:c>
      <x:c r="C17" s="23"/>
      <x:c r="D17" s="23"/>
      <x:c r="E17" s="23"/>
      <x:c r="F17" s="23"/>
      <x:c r="G17" s="23"/>
      <x:c r="H17" s="23"/>
      <x:c r="I17" s="23"/>
      <x:c r="J17" s="30" t="str">
        <x:f>IF(A17="","",COUNTIF(C17:I17,"Not met"))</x:f>
      </x:c>
      <x:c r="K17" s="30" t="str">
        <x:f>IF(A17="","",COUNTIF(C17:I17,"Conditional"))</x:f>
      </x:c>
      <x:c r="L17" s="30" t="str">
        <x:f>IF(A17="","",IF(COUNTA(C17:I17)&lt;7,"Incomplete",IF(OR('Use Case Register'!P17="Yes",J17&gt;0),"Do not proceed",IF(K17&gt;0,"Proceed conditionally","Proceed to controlled experiment"))))</x:f>
      </x:c>
      <x:c r="M17" s="23"/>
    </x:row>
    <x:row r="18" ht="42" customHeight="1">
      <x:c r="A18" s="30" t="str">
        <x:f>IF('Use Case Register'!A18="","",'Use Case Register'!A18)</x:f>
      </x:c>
      <x:c r="B18" s="30" t="str">
        <x:f>IF('Use Case Register'!B18="","",'Use Case Register'!B18)</x:f>
      </x:c>
      <x:c r="C18" s="23"/>
      <x:c r="D18" s="23"/>
      <x:c r="E18" s="23"/>
      <x:c r="F18" s="23"/>
      <x:c r="G18" s="23"/>
      <x:c r="H18" s="23"/>
      <x:c r="I18" s="23"/>
      <x:c r="J18" s="30" t="str">
        <x:f>IF(A18="","",COUNTIF(C18:I18,"Not met"))</x:f>
      </x:c>
      <x:c r="K18" s="30" t="str">
        <x:f>IF(A18="","",COUNTIF(C18:I18,"Conditional"))</x:f>
      </x:c>
      <x:c r="L18" s="30" t="str">
        <x:f>IF(A18="","",IF(COUNTA(C18:I18)&lt;7,"Incomplete",IF(OR('Use Case Register'!P18="Yes",J18&gt;0),"Do not proceed",IF(K18&gt;0,"Proceed conditionally","Proceed to controlled experiment"))))</x:f>
      </x:c>
      <x:c r="M18" s="23"/>
    </x:row>
    <x:row r="19" ht="42" customHeight="1">
      <x:c r="A19" s="30" t="str">
        <x:f>IF('Use Case Register'!A19="","",'Use Case Register'!A19)</x:f>
      </x:c>
      <x:c r="B19" s="30" t="str">
        <x:f>IF('Use Case Register'!B19="","",'Use Case Register'!B19)</x:f>
      </x:c>
      <x:c r="C19" s="23"/>
      <x:c r="D19" s="23"/>
      <x:c r="E19" s="23"/>
      <x:c r="F19" s="23"/>
      <x:c r="G19" s="23"/>
      <x:c r="H19" s="23"/>
      <x:c r="I19" s="23"/>
      <x:c r="J19" s="30" t="str">
        <x:f>IF(A19="","",COUNTIF(C19:I19,"Not met"))</x:f>
      </x:c>
      <x:c r="K19" s="30" t="str">
        <x:f>IF(A19="","",COUNTIF(C19:I19,"Conditional"))</x:f>
      </x:c>
      <x:c r="L19" s="30" t="str">
        <x:f>IF(A19="","",IF(COUNTA(C19:I19)&lt;7,"Incomplete",IF(OR('Use Case Register'!P19="Yes",J19&gt;0),"Do not proceed",IF(K19&gt;0,"Proceed conditionally","Proceed to controlled experiment"))))</x:f>
      </x:c>
      <x:c r="M19" s="23"/>
    </x:row>
    <x:row r="20" ht="42" customHeight="1">
      <x:c r="A20" s="30" t="str">
        <x:f>IF('Use Case Register'!A20="","",'Use Case Register'!A20)</x:f>
      </x:c>
      <x:c r="B20" s="30" t="str">
        <x:f>IF('Use Case Register'!B20="","",'Use Case Register'!B20)</x:f>
      </x:c>
      <x:c r="C20" s="23"/>
      <x:c r="D20" s="23"/>
      <x:c r="E20" s="23"/>
      <x:c r="F20" s="23"/>
      <x:c r="G20" s="23"/>
      <x:c r="H20" s="23"/>
      <x:c r="I20" s="23"/>
      <x:c r="J20" s="30" t="str">
        <x:f>IF(A20="","",COUNTIF(C20:I20,"Not met"))</x:f>
      </x:c>
      <x:c r="K20" s="30" t="str">
        <x:f>IF(A20="","",COUNTIF(C20:I20,"Conditional"))</x:f>
      </x:c>
      <x:c r="L20" s="30" t="str">
        <x:f>IF(A20="","",IF(COUNTA(C20:I20)&lt;7,"Incomplete",IF(OR('Use Case Register'!P20="Yes",J20&gt;0),"Do not proceed",IF(K20&gt;0,"Proceed conditionally","Proceed to controlled experiment"))))</x:f>
      </x:c>
      <x:c r="M20" s="23"/>
    </x:row>
    <x:row r="21" ht="42" customHeight="1">
      <x:c r="A21" s="30" t="str">
        <x:f>IF('Use Case Register'!A21="","",'Use Case Register'!A21)</x:f>
      </x:c>
      <x:c r="B21" s="30" t="str">
        <x:f>IF('Use Case Register'!B21="","",'Use Case Register'!B21)</x:f>
      </x:c>
      <x:c r="C21" s="23"/>
      <x:c r="D21" s="23"/>
      <x:c r="E21" s="23"/>
      <x:c r="F21" s="23"/>
      <x:c r="G21" s="23"/>
      <x:c r="H21" s="23"/>
      <x:c r="I21" s="23"/>
      <x:c r="J21" s="30" t="str">
        <x:f>IF(A21="","",COUNTIF(C21:I21,"Not met"))</x:f>
      </x:c>
      <x:c r="K21" s="30" t="str">
        <x:f>IF(A21="","",COUNTIF(C21:I21,"Conditional"))</x:f>
      </x:c>
      <x:c r="L21" s="30" t="str">
        <x:f>IF(A21="","",IF(COUNTA(C21:I21)&lt;7,"Incomplete",IF(OR('Use Case Register'!P21="Yes",J21&gt;0),"Do not proceed",IF(K21&gt;0,"Proceed conditionally","Proceed to controlled experiment"))))</x:f>
      </x:c>
      <x:c r="M21" s="23"/>
    </x:row>
    <x:row r="22" ht="42" customHeight="1">
      <x:c r="A22" s="30" t="str">
        <x:f>IF('Use Case Register'!A22="","",'Use Case Register'!A22)</x:f>
      </x:c>
      <x:c r="B22" s="30" t="str">
        <x:f>IF('Use Case Register'!B22="","",'Use Case Register'!B22)</x:f>
      </x:c>
      <x:c r="C22" s="23"/>
      <x:c r="D22" s="23"/>
      <x:c r="E22" s="23"/>
      <x:c r="F22" s="23"/>
      <x:c r="G22" s="23"/>
      <x:c r="H22" s="23"/>
      <x:c r="I22" s="23"/>
      <x:c r="J22" s="30" t="str">
        <x:f>IF(A22="","",COUNTIF(C22:I22,"Not met"))</x:f>
      </x:c>
      <x:c r="K22" s="30" t="str">
        <x:f>IF(A22="","",COUNTIF(C22:I22,"Conditional"))</x:f>
      </x:c>
      <x:c r="L22" s="30" t="str">
        <x:f>IF(A22="","",IF(COUNTA(C22:I22)&lt;7,"Incomplete",IF(OR('Use Case Register'!P22="Yes",J22&gt;0),"Do not proceed",IF(K22&gt;0,"Proceed conditionally","Proceed to controlled experiment"))))</x:f>
      </x:c>
      <x:c r="M22" s="23"/>
    </x:row>
    <x:row r="23" ht="42" customHeight="1">
      <x:c r="A23" s="30" t="str">
        <x:f>IF('Use Case Register'!A23="","",'Use Case Register'!A23)</x:f>
      </x:c>
      <x:c r="B23" s="30" t="str">
        <x:f>IF('Use Case Register'!B23="","",'Use Case Register'!B23)</x:f>
      </x:c>
      <x:c r="C23" s="23"/>
      <x:c r="D23" s="23"/>
      <x:c r="E23" s="23"/>
      <x:c r="F23" s="23"/>
      <x:c r="G23" s="23"/>
      <x:c r="H23" s="23"/>
      <x:c r="I23" s="23"/>
      <x:c r="J23" s="30" t="str">
        <x:f>IF(A23="","",COUNTIF(C23:I23,"Not met"))</x:f>
      </x:c>
      <x:c r="K23" s="30" t="str">
        <x:f>IF(A23="","",COUNTIF(C23:I23,"Conditional"))</x:f>
      </x:c>
      <x:c r="L23" s="30" t="str">
        <x:f>IF(A23="","",IF(COUNTA(C23:I23)&lt;7,"Incomplete",IF(OR('Use Case Register'!P23="Yes",J23&gt;0),"Do not proceed",IF(K23&gt;0,"Proceed conditionally","Proceed to controlled experiment"))))</x:f>
      </x:c>
      <x:c r="M23" s="23"/>
    </x:row>
    <x:row r="24" ht="42" customHeight="1">
      <x:c r="A24" s="30" t="str">
        <x:f>IF('Use Case Register'!A24="","",'Use Case Register'!A24)</x:f>
      </x:c>
      <x:c r="B24" s="30" t="str">
        <x:f>IF('Use Case Register'!B24="","",'Use Case Register'!B24)</x:f>
      </x:c>
      <x:c r="C24" s="23"/>
      <x:c r="D24" s="23"/>
      <x:c r="E24" s="23"/>
      <x:c r="F24" s="23"/>
      <x:c r="G24" s="23"/>
      <x:c r="H24" s="23"/>
      <x:c r="I24" s="23"/>
      <x:c r="J24" s="30" t="str">
        <x:f>IF(A24="","",COUNTIF(C24:I24,"Not met"))</x:f>
      </x:c>
      <x:c r="K24" s="30" t="str">
        <x:f>IF(A24="","",COUNTIF(C24:I24,"Conditional"))</x:f>
      </x:c>
      <x:c r="L24" s="30" t="str">
        <x:f>IF(A24="","",IF(COUNTA(C24:I24)&lt;7,"Incomplete",IF(OR('Use Case Register'!P24="Yes",J24&gt;0),"Do not proceed",IF(K24&gt;0,"Proceed conditionally","Proceed to controlled experiment"))))</x:f>
      </x:c>
      <x:c r="M24" s="23"/>
    </x:row>
    <x:row r="25" ht="42" customHeight="1">
      <x:c r="A25" s="30" t="str">
        <x:f>IF('Use Case Register'!A25="","",'Use Case Register'!A25)</x:f>
      </x:c>
      <x:c r="B25" s="30" t="str">
        <x:f>IF('Use Case Register'!B25="","",'Use Case Register'!B25)</x:f>
      </x:c>
      <x:c r="C25" s="23"/>
      <x:c r="D25" s="23"/>
      <x:c r="E25" s="23"/>
      <x:c r="F25" s="23"/>
      <x:c r="G25" s="23"/>
      <x:c r="H25" s="23"/>
      <x:c r="I25" s="23"/>
      <x:c r="J25" s="30" t="str">
        <x:f>IF(A25="","",COUNTIF(C25:I25,"Not met"))</x:f>
      </x:c>
      <x:c r="K25" s="30" t="str">
        <x:f>IF(A25="","",COUNTIF(C25:I25,"Conditional"))</x:f>
      </x:c>
      <x:c r="L25" s="30" t="str">
        <x:f>IF(A25="","",IF(COUNTA(C25:I25)&lt;7,"Incomplete",IF(OR('Use Case Register'!P25="Yes",J25&gt;0),"Do not proceed",IF(K25&gt;0,"Proceed conditionally","Proceed to controlled experiment"))))</x:f>
      </x:c>
      <x:c r="M25" s="23"/>
    </x:row>
    <x:row r="26" ht="42" customHeight="1">
      <x:c r="A26" s="30" t="str">
        <x:f>IF('Use Case Register'!A26="","",'Use Case Register'!A26)</x:f>
      </x:c>
      <x:c r="B26" s="30" t="str">
        <x:f>IF('Use Case Register'!B26="","",'Use Case Register'!B26)</x:f>
      </x:c>
      <x:c r="C26" s="23"/>
      <x:c r="D26" s="23"/>
      <x:c r="E26" s="23"/>
      <x:c r="F26" s="23"/>
      <x:c r="G26" s="23"/>
      <x:c r="H26" s="23"/>
      <x:c r="I26" s="23"/>
      <x:c r="J26" s="30" t="str">
        <x:f>IF(A26="","",COUNTIF(C26:I26,"Not met"))</x:f>
      </x:c>
      <x:c r="K26" s="30" t="str">
        <x:f>IF(A26="","",COUNTIF(C26:I26,"Conditional"))</x:f>
      </x:c>
      <x:c r="L26" s="30" t="str">
        <x:f>IF(A26="","",IF(COUNTA(C26:I26)&lt;7,"Incomplete",IF(OR('Use Case Register'!P26="Yes",J26&gt;0),"Do not proceed",IF(K26&gt;0,"Proceed conditionally","Proceed to controlled experiment"))))</x:f>
      </x:c>
      <x:c r="M26" s="23"/>
    </x:row>
    <x:row r="27" ht="42" customHeight="1">
      <x:c r="A27" s="30" t="str">
        <x:f>IF('Use Case Register'!A27="","",'Use Case Register'!A27)</x:f>
      </x:c>
      <x:c r="B27" s="30" t="str">
        <x:f>IF('Use Case Register'!B27="","",'Use Case Register'!B27)</x:f>
      </x:c>
      <x:c r="C27" s="23"/>
      <x:c r="D27" s="23"/>
      <x:c r="E27" s="23"/>
      <x:c r="F27" s="23"/>
      <x:c r="G27" s="23"/>
      <x:c r="H27" s="23"/>
      <x:c r="I27" s="23"/>
      <x:c r="J27" s="30" t="str">
        <x:f>IF(A27="","",COUNTIF(C27:I27,"Not met"))</x:f>
      </x:c>
      <x:c r="K27" s="30" t="str">
        <x:f>IF(A27="","",COUNTIF(C27:I27,"Conditional"))</x:f>
      </x:c>
      <x:c r="L27" s="30" t="str">
        <x:f>IF(A27="","",IF(COUNTA(C27:I27)&lt;7,"Incomplete",IF(OR('Use Case Register'!P27="Yes",J27&gt;0),"Do not proceed",IF(K27&gt;0,"Proceed conditionally","Proceed to controlled experiment"))))</x:f>
      </x:c>
      <x:c r="M27" s="23"/>
    </x:row>
    <x:row r="28" ht="42" customHeight="1">
      <x:c r="A28" s="30" t="str">
        <x:f>IF('Use Case Register'!A28="","",'Use Case Register'!A28)</x:f>
      </x:c>
      <x:c r="B28" s="30" t="str">
        <x:f>IF('Use Case Register'!B28="","",'Use Case Register'!B28)</x:f>
      </x:c>
      <x:c r="C28" s="23"/>
      <x:c r="D28" s="23"/>
      <x:c r="E28" s="23"/>
      <x:c r="F28" s="23"/>
      <x:c r="G28" s="23"/>
      <x:c r="H28" s="23"/>
      <x:c r="I28" s="23"/>
      <x:c r="J28" s="30" t="str">
        <x:f>IF(A28="","",COUNTIF(C28:I28,"Not met"))</x:f>
      </x:c>
      <x:c r="K28" s="30" t="str">
        <x:f>IF(A28="","",COUNTIF(C28:I28,"Conditional"))</x:f>
      </x:c>
      <x:c r="L28" s="30" t="str">
        <x:f>IF(A28="","",IF(COUNTA(C28:I28)&lt;7,"Incomplete",IF(OR('Use Case Register'!P28="Yes",J28&gt;0),"Do not proceed",IF(K28&gt;0,"Proceed conditionally","Proceed to controlled experiment"))))</x:f>
      </x:c>
      <x:c r="M28" s="23"/>
    </x:row>
    <x:row r="29" ht="42" customHeight="1">
      <x:c r="A29" s="30" t="str">
        <x:f>IF('Use Case Register'!A29="","",'Use Case Register'!A29)</x:f>
      </x:c>
      <x:c r="B29" s="30" t="str">
        <x:f>IF('Use Case Register'!B29="","",'Use Case Register'!B29)</x:f>
      </x:c>
      <x:c r="C29" s="23"/>
      <x:c r="D29" s="23"/>
      <x:c r="E29" s="23"/>
      <x:c r="F29" s="23"/>
      <x:c r="G29" s="23"/>
      <x:c r="H29" s="23"/>
      <x:c r="I29" s="23"/>
      <x:c r="J29" s="30" t="str">
        <x:f>IF(A29="","",COUNTIF(C29:I29,"Not met"))</x:f>
      </x:c>
      <x:c r="K29" s="30" t="str">
        <x:f>IF(A29="","",COUNTIF(C29:I29,"Conditional"))</x:f>
      </x:c>
      <x:c r="L29" s="30" t="str">
        <x:f>IF(A29="","",IF(COUNTA(C29:I29)&lt;7,"Incomplete",IF(OR('Use Case Register'!P29="Yes",J29&gt;0),"Do not proceed",IF(K29&gt;0,"Proceed conditionally","Proceed to controlled experiment"))))</x:f>
      </x:c>
      <x:c r="M29" s="23"/>
    </x:row>
    <x:row r="30" ht="42" customHeight="1">
      <x:c r="A30" s="30" t="str">
        <x:f>IF('Use Case Register'!A30="","",'Use Case Register'!A30)</x:f>
      </x:c>
      <x:c r="B30" s="30" t="str">
        <x:f>IF('Use Case Register'!B30="","",'Use Case Register'!B30)</x:f>
      </x:c>
      <x:c r="C30" s="23"/>
      <x:c r="D30" s="23"/>
      <x:c r="E30" s="23"/>
      <x:c r="F30" s="23"/>
      <x:c r="G30" s="23"/>
      <x:c r="H30" s="23"/>
      <x:c r="I30" s="23"/>
      <x:c r="J30" s="30" t="str">
        <x:f>IF(A30="","",COUNTIF(C30:I30,"Not met"))</x:f>
      </x:c>
      <x:c r="K30" s="30" t="str">
        <x:f>IF(A30="","",COUNTIF(C30:I30,"Conditional"))</x:f>
      </x:c>
      <x:c r="L30" s="30" t="str">
        <x:f>IF(A30="","",IF(COUNTA(C30:I30)&lt;7,"Incomplete",IF(OR('Use Case Register'!P30="Yes",J30&gt;0),"Do not proceed",IF(K30&gt;0,"Proceed conditionally","Proceed to controlled experiment"))))</x:f>
      </x:c>
      <x:c r="M30" s="23"/>
    </x:row>
    <x:row r="31" ht="42" customHeight="1">
      <x:c r="A31" s="30" t="str">
        <x:f>IF('Use Case Register'!A31="","",'Use Case Register'!A31)</x:f>
      </x:c>
      <x:c r="B31" s="30" t="str">
        <x:f>IF('Use Case Register'!B31="","",'Use Case Register'!B31)</x:f>
      </x:c>
      <x:c r="C31" s="23"/>
      <x:c r="D31" s="23"/>
      <x:c r="E31" s="23"/>
      <x:c r="F31" s="23"/>
      <x:c r="G31" s="23"/>
      <x:c r="H31" s="23"/>
      <x:c r="I31" s="23"/>
      <x:c r="J31" s="30" t="str">
        <x:f>IF(A31="","",COUNTIF(C31:I31,"Not met"))</x:f>
      </x:c>
      <x:c r="K31" s="30" t="str">
        <x:f>IF(A31="","",COUNTIF(C31:I31,"Conditional"))</x:f>
      </x:c>
      <x:c r="L31" s="30" t="str">
        <x:f>IF(A31="","",IF(COUNTA(C31:I31)&lt;7,"Incomplete",IF(OR('Use Case Register'!P31="Yes",J31&gt;0),"Do not proceed",IF(K31&gt;0,"Proceed conditionally","Proceed to controlled experiment"))))</x:f>
      </x:c>
      <x:c r="M31" s="23"/>
    </x:row>
    <x:row r="32" ht="42" customHeight="1">
      <x:c r="A32" s="30" t="str">
        <x:f>IF('Use Case Register'!A32="","",'Use Case Register'!A32)</x:f>
      </x:c>
      <x:c r="B32" s="30" t="str">
        <x:f>IF('Use Case Register'!B32="","",'Use Case Register'!B32)</x:f>
      </x:c>
      <x:c r="C32" s="23"/>
      <x:c r="D32" s="23"/>
      <x:c r="E32" s="23"/>
      <x:c r="F32" s="23"/>
      <x:c r="G32" s="23"/>
      <x:c r="H32" s="23"/>
      <x:c r="I32" s="23"/>
      <x:c r="J32" s="30" t="str">
        <x:f>IF(A32="","",COUNTIF(C32:I32,"Not met"))</x:f>
      </x:c>
      <x:c r="K32" s="30" t="str">
        <x:f>IF(A32="","",COUNTIF(C32:I32,"Conditional"))</x:f>
      </x:c>
      <x:c r="L32" s="30" t="str">
        <x:f>IF(A32="","",IF(COUNTA(C32:I32)&lt;7,"Incomplete",IF(OR('Use Case Register'!P32="Yes",J32&gt;0),"Do not proceed",IF(K32&gt;0,"Proceed conditionally","Proceed to controlled experiment"))))</x:f>
      </x:c>
      <x:c r="M32" s="23"/>
    </x:row>
    <x:row r="33" ht="42" customHeight="1">
      <x:c r="A33" s="30" t="str">
        <x:f>IF('Use Case Register'!A33="","",'Use Case Register'!A33)</x:f>
      </x:c>
      <x:c r="B33" s="30" t="str">
        <x:f>IF('Use Case Register'!B33="","",'Use Case Register'!B33)</x:f>
      </x:c>
      <x:c r="C33" s="23"/>
      <x:c r="D33" s="23"/>
      <x:c r="E33" s="23"/>
      <x:c r="F33" s="23"/>
      <x:c r="G33" s="23"/>
      <x:c r="H33" s="23"/>
      <x:c r="I33" s="23"/>
      <x:c r="J33" s="30" t="str">
        <x:f>IF(A33="","",COUNTIF(C33:I33,"Not met"))</x:f>
      </x:c>
      <x:c r="K33" s="30" t="str">
        <x:f>IF(A33="","",COUNTIF(C33:I33,"Conditional"))</x:f>
      </x:c>
      <x:c r="L33" s="30" t="str">
        <x:f>IF(A33="","",IF(COUNTA(C33:I33)&lt;7,"Incomplete",IF(OR('Use Case Register'!P33="Yes",J33&gt;0),"Do not proceed",IF(K33&gt;0,"Proceed conditionally","Proceed to controlled experiment"))))</x:f>
      </x:c>
      <x:c r="M33" s="23"/>
    </x:row>
    <x:row r="34" ht="42" customHeight="1">
      <x:c r="A34" s="32" t="str">
        <x:f>IF('Use Case Register'!A34="","",'Use Case Register'!A34)</x:f>
      </x:c>
      <x:c r="B34" s="32" t="str">
        <x:f>IF('Use Case Register'!B34="","",'Use Case Register'!B34)</x:f>
      </x:c>
      <x:c r="C34" s="26"/>
      <x:c r="D34" s="26"/>
      <x:c r="E34" s="26"/>
      <x:c r="F34" s="26"/>
      <x:c r="G34" s="26"/>
      <x:c r="H34" s="26"/>
      <x:c r="I34" s="26"/>
      <x:c r="J34" s="32" t="str">
        <x:f>IF(A34="","",COUNTIF(C34:I34,"Not met"))</x:f>
      </x:c>
      <x:c r="K34" s="32" t="str">
        <x:f>IF(A34="","",COUNTIF(C34:I34,"Conditional"))</x:f>
      </x:c>
      <x:c r="L34" s="32" t="str">
        <x:f>IF(A34="","",IF(COUNTA(C34:I34)&lt;7,"Incomplete",IF(OR('Use Case Register'!P34="Yes",J34&gt;0),"Do not proceed",IF(K34&gt;0,"Proceed conditionally","Proceed to controlled experiment"))))</x:f>
      </x:c>
      <x:c r="M34" s="26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</x:row>
  </x:sheetData>
  <x:mergeCells>
    <x:mergeCell ref="A2:M2"/>
  </x:mergeCells>
  <x:conditionalFormatting sqref="L5:L34">
    <x:cfRule type="containsText" dxfId="0" priority="1" operator="containsText" text="Do not proceed"/>
    <x:cfRule type="containsText" dxfId="1" priority="2" operator="containsText" text="Proceed to controlled experiment"/>
  </x:conditionalFormatting>
  <x:dataValidations count="1">
    <x:dataValidation type="list" sqref="C5:I34">
      <x:formula1>"Met,Conditional,Not met,Not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6B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9" hidden="0" customWidth="1"/>
    <x:col min="5" max="5" width="18" hidden="0" customWidth="1"/>
    <x:col min="6" max="6" width="34" hidden="0" customWidth="1"/>
    <x:col min="7" max="7" width="28" hidden="0" customWidth="1"/>
    <x:col min="8" max="8" width="30" hidden="0" customWidth="1"/>
    <x:col min="9" max="9" width="24" hidden="0" customWidth="1"/>
    <x:col min="10" max="10" width="25" hidden="0" customWidth="1"/>
    <x:col min="11" max="11" width="23" hidden="0" customWidth="1"/>
    <x:col min="12" max="12" width="24" hidden="0" customWidth="1"/>
    <x:col min="13" max="13" width="27" hidden="0" customWidth="1"/>
    <x:col min="14" max="14" width="25" hidden="0" customWidth="1"/>
    <x:col min="15" max="15" width="17" hidden="0" customWidth="1"/>
    <x:col min="16" max="16" width="19" hidden="0" customWidth="1"/>
    <x:col min="17" max="17" width="17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5" t="str">
        <x:v>Phase 1E: AI use-case register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36" customHeight="1">
      <x:c r="A4" s="18" t="str">
        <x:v>Use case ID</x:v>
      </x:c>
      <x:c r="B4" s="19" t="str">
        <x:v>Use case title</x:v>
      </x:c>
      <x:c r="C4" s="19" t="str">
        <x:v>Sponsoring institution / unit</x:v>
      </x:c>
      <x:c r="D4" s="19" t="str">
        <x:v>Statistical domain</x:v>
      </x:c>
      <x:c r="E4" s="19" t="str">
        <x:v>Production stage</x:v>
      </x:c>
      <x:c r="F4" s="19" t="str">
        <x:v>Problem and current baseline</x:v>
      </x:c>
      <x:c r="G4" s="19" t="str">
        <x:v>Intended statistical or public decision</x:v>
      </x:c>
      <x:c r="H4" s="19" t="str">
        <x:v>Proposed AI role</x:v>
      </x:c>
      <x:c r="I4" s="19" t="str">
        <x:v>Use-case type</x:v>
      </x:c>
      <x:c r="J4" s="19" t="str">
        <x:v>Data assets / ecosystem IDs</x:v>
      </x:c>
      <x:c r="K4" s="19" t="str">
        <x:v>Accountable statistical owner</x:v>
      </x:c>
      <x:c r="L4" s="19" t="str">
        <x:v>Technical lead / provider</x:v>
      </x:c>
      <x:c r="M4" s="19" t="str">
        <x:v>Expected benefit</x:v>
      </x:c>
      <x:c r="N4" s="19" t="str">
        <x:v>Affected groups / geographic areas</x:v>
      </x:c>
      <x:c r="O4" s="19" t="str">
        <x:v>Consequence level</x:v>
      </x:c>
      <x:c r="P4" s="19" t="str">
        <x:v>Prohibited-condition flag</x:v>
      </x:c>
      <x:c r="Q4" s="20" t="str">
        <x:v>Register status</x:v>
      </x:c>
    </x:row>
    <x:row r="5" ht="36" customHeight="1">
      <x:c r="A5" s="24"/>
      <x:c r="B5" s="24"/>
      <x:c r="C5" s="24"/>
      <x:c r="D5" s="24"/>
      <x:c r="E5" s="24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 ht="36" customHeight="1">
      <x:c r="A6" s="24"/>
      <x:c r="B6" s="24"/>
      <x:c r="C6" s="24"/>
      <x:c r="D6" s="24"/>
      <x:c r="E6" s="24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</x:row>
    <x:row r="7" ht="36" customHeight="1">
      <x:c r="A7" s="24"/>
      <x:c r="B7" s="24"/>
      <x:c r="C7" s="24"/>
      <x:c r="D7" s="24"/>
      <x:c r="E7" s="24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</x:row>
    <x:row r="8" ht="36" customHeight="1">
      <x:c r="A8" s="24"/>
      <x:c r="B8" s="24"/>
      <x:c r="C8" s="24"/>
      <x:c r="D8" s="24"/>
      <x:c r="E8" s="24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</x:row>
    <x:row r="9" ht="36" customHeight="1">
      <x:c r="A9" s="24"/>
      <x:c r="B9" s="24"/>
      <x:c r="C9" s="24"/>
      <x:c r="D9" s="24"/>
      <x:c r="E9" s="24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</x:row>
    <x:row r="10" ht="36" customHeight="1">
      <x:c r="A10" s="24"/>
      <x:c r="B10" s="24"/>
      <x:c r="C10" s="24"/>
      <x:c r="D10" s="24"/>
      <x:c r="E10" s="24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</x:row>
    <x:row r="11" ht="36" customHeight="1">
      <x:c r="A11" s="24"/>
      <x:c r="B11" s="24"/>
      <x:c r="C11" s="24"/>
      <x:c r="D11" s="24"/>
      <x:c r="E11" s="24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</x:row>
    <x:row r="12" ht="36" customHeight="1">
      <x:c r="A12" s="24"/>
      <x:c r="B12" s="24"/>
      <x:c r="C12" s="24"/>
      <x:c r="D12" s="24"/>
      <x:c r="E12" s="24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</x:row>
    <x:row r="13" ht="36" customHeight="1">
      <x:c r="A13" s="24"/>
      <x:c r="B13" s="24"/>
      <x:c r="C13" s="24"/>
      <x:c r="D13" s="24"/>
      <x:c r="E13" s="24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</x:row>
    <x:row r="14" ht="36" customHeight="1">
      <x:c r="A14" s="24"/>
      <x:c r="B14" s="24"/>
      <x:c r="C14" s="24"/>
      <x:c r="D14" s="24"/>
      <x:c r="E14" s="24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</x:row>
    <x:row r="15" ht="36" customHeight="1">
      <x:c r="A15" s="24"/>
      <x:c r="B15" s="24"/>
      <x:c r="C15" s="24"/>
      <x:c r="D15" s="24"/>
      <x:c r="E15" s="24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</x:row>
    <x:row r="16" ht="36" customHeight="1">
      <x:c r="A16" s="24"/>
      <x:c r="B16" s="24"/>
      <x:c r="C16" s="24"/>
      <x:c r="D16" s="24"/>
      <x:c r="E16" s="24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</x:row>
    <x:row r="17" ht="36" customHeight="1">
      <x:c r="A17" s="24"/>
      <x:c r="B17" s="24"/>
      <x:c r="C17" s="24"/>
      <x:c r="D17" s="24"/>
      <x:c r="E17" s="24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</x:row>
    <x:row r="18" ht="36" customHeight="1">
      <x:c r="A18" s="24"/>
      <x:c r="B18" s="24"/>
      <x:c r="C18" s="24"/>
      <x:c r="D18" s="24"/>
      <x:c r="E18" s="24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</x:row>
    <x:row r="19" ht="36" customHeight="1">
      <x:c r="A19" s="24"/>
      <x:c r="B19" s="24"/>
      <x:c r="C19" s="24"/>
      <x:c r="D19" s="24"/>
      <x:c r="E19" s="24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</x:row>
    <x:row r="20" ht="36" customHeight="1">
      <x:c r="A20" s="24"/>
      <x:c r="B20" s="24"/>
      <x:c r="C20" s="24"/>
      <x:c r="D20" s="24"/>
      <x:c r="E20" s="24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</x:row>
    <x:row r="21" ht="36" customHeight="1">
      <x:c r="A21" s="24"/>
      <x:c r="B21" s="24"/>
      <x:c r="C21" s="24"/>
      <x:c r="D21" s="24"/>
      <x:c r="E21" s="24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</x:row>
    <x:row r="22" ht="36" customHeight="1">
      <x:c r="A22" s="24"/>
      <x:c r="B22" s="24"/>
      <x:c r="C22" s="24"/>
      <x:c r="D22" s="24"/>
      <x:c r="E22" s="24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</x:row>
    <x:row r="23" ht="36" customHeight="1">
      <x:c r="A23" s="24"/>
      <x:c r="B23" s="24"/>
      <x:c r="C23" s="24"/>
      <x:c r="D23" s="24"/>
      <x:c r="E23" s="24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</x:row>
    <x:row r="24" ht="36" customHeight="1">
      <x:c r="A24" s="24"/>
      <x:c r="B24" s="24"/>
      <x:c r="C24" s="24"/>
      <x:c r="D24" s="24"/>
      <x:c r="E24" s="24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</x:row>
    <x:row r="25" ht="36" customHeight="1">
      <x:c r="A25" s="24"/>
      <x:c r="B25" s="24"/>
      <x:c r="C25" s="24"/>
      <x:c r="D25" s="24"/>
      <x:c r="E25" s="24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</x:row>
    <x:row r="26" ht="36" customHeight="1">
      <x:c r="A26" s="24"/>
      <x:c r="B26" s="24"/>
      <x:c r="C26" s="24"/>
      <x:c r="D26" s="24"/>
      <x:c r="E26" s="24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</x:row>
    <x:row r="27" ht="36" customHeight="1">
      <x:c r="A27" s="24"/>
      <x:c r="B27" s="24"/>
      <x:c r="C27" s="24"/>
      <x:c r="D27" s="24"/>
      <x:c r="E27" s="24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</x:row>
    <x:row r="28" ht="36" customHeight="1">
      <x:c r="A28" s="24"/>
      <x:c r="B28" s="24"/>
      <x:c r="C28" s="24"/>
      <x:c r="D28" s="24"/>
      <x:c r="E28" s="24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</x:row>
    <x:row r="29" ht="36" customHeight="1">
      <x:c r="A29" s="24"/>
      <x:c r="B29" s="24"/>
      <x:c r="C29" s="24"/>
      <x:c r="D29" s="24"/>
      <x:c r="E29" s="24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</x:row>
    <x:row r="30" ht="36" customHeight="1">
      <x:c r="A30" s="24"/>
      <x:c r="B30" s="24"/>
      <x:c r="C30" s="24"/>
      <x:c r="D30" s="24"/>
      <x:c r="E30" s="24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</x:row>
    <x:row r="31" ht="36" customHeight="1">
      <x:c r="A31" s="24"/>
      <x:c r="B31" s="24"/>
      <x:c r="C31" s="24"/>
      <x:c r="D31" s="24"/>
      <x:c r="E31" s="24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</x:row>
    <x:row r="32" ht="36" customHeight="1">
      <x:c r="A32" s="24"/>
      <x:c r="B32" s="24"/>
      <x:c r="C32" s="24"/>
      <x:c r="D32" s="24"/>
      <x:c r="E32" s="24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</x:row>
    <x:row r="33" ht="36" customHeight="1">
      <x:c r="A33" s="24"/>
      <x:c r="B33" s="24"/>
      <x:c r="C33" s="24"/>
      <x:c r="D33" s="24"/>
      <x:c r="E33" s="24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</x:row>
    <x:row r="34" ht="36" customHeight="1">
      <x:c r="A34" s="25"/>
      <x:c r="B34" s="25"/>
      <x:c r="C34" s="25"/>
      <x:c r="D34" s="25"/>
      <x:c r="E34" s="25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</x:row>
  </x:sheetData>
  <x:mergeCells>
    <x:mergeCell ref="A2:Q2"/>
  </x:mergeCells>
  <x:dataValidations count="6">
    <x:dataValidation type="list" sqref="D5:D34">
      <x:formula1>"Agriculture and food,National accounts,Prices,Labour,Trade and balance of payments,Population and demography,Health,Education,Poverty and living conditions,Environment and climate,Housing and habitat,Transport,Energy,Government finance,Science and innovation,Cross-domain"</x:formula1>
    </x:dataValidation>
    <x:dataValidation type="list" sqref="E5:E34">
      <x:formula1>"Needs and design,Data acquisition,Processing,Analysis,Dissemination,Evaluation,Corporate support"</x:formula1>
    </x:dataValidation>
    <x:dataValidation type="list" sqref="I5:I34">
      <x:formula1>"Generative AI / LLM,NLP classification or extraction,Computer vision / remote sensing,Prediction or estimation,Anomaly detection,Record linkage,Imputation,Optimization,Synthetic data,Other"</x:formula1>
    </x:dataValidation>
    <x:dataValidation type="list" sqref="O5:O34">
      <x:formula1>"Low,Moderate,High,Very high"</x:formula1>
    </x:dataValidation>
    <x:dataValidation type="list" sqref="P5:P34">
      <x:formula1>"No,Yes,Uncertain"</x:formula1>
    </x:dataValidation>
    <x:dataValidation type="list" sqref="Q5:Q34">
      <x:formula1>"Idea,Under screening,Screened,Selected,Not selected,Closed"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23" hidden="0" customWidth="1"/>
    <x:col min="5" max="5" width="24" hidden="0" customWidth="1"/>
    <x:col min="6" max="6" width="30" hidden="0" customWidth="1"/>
    <x:col min="7" max="7" width="34" hidden="0" customWidth="1"/>
    <x:col min="8" max="8" width="25" hidden="0" customWidth="1"/>
    <x:col min="9" max="9" width="15" hidden="0" customWidth="1"/>
    <x:col min="10" max="10" width="2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5" t="str">
        <x:v>Decision and assurance log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6" customHeight="1">
      <x:c r="A4" s="18" t="str">
        <x:v>Decision ID</x:v>
      </x:c>
      <x:c r="B4" s="19" t="str">
        <x:v>Decision date</x:v>
      </x:c>
      <x:c r="C4" s="19" t="str">
        <x:v>Use case ID</x:v>
      </x:c>
      <x:c r="D4" s="19" t="str">
        <x:v>Decision authority</x:v>
      </x:c>
      <x:c r="E4" s="19" t="str">
        <x:v>Decision</x:v>
      </x:c>
      <x:c r="F4" s="19" t="str">
        <x:v>Conditions / safeguards</x:v>
      </x:c>
      <x:c r="G4" s="19" t="str">
        <x:v>Rationale</x:v>
      </x:c>
      <x:c r="H4" s="19" t="str">
        <x:v>Evidence reference</x:v>
      </x:c>
      <x:c r="I4" s="19" t="str">
        <x:v>Next review date</x:v>
      </x:c>
      <x:c r="J4" s="20" t="str">
        <x:v>Follow-up owner</x:v>
      </x:c>
    </x:row>
    <x:row r="5" ht="36" customHeight="1">
      <x:c r="A5" s="23"/>
      <x:c r="B5" s="35"/>
      <x:c r="C5" s="23"/>
      <x:c r="D5" s="23"/>
      <x:c r="E5" s="23"/>
      <x:c r="F5" s="23"/>
      <x:c r="G5" s="23"/>
      <x:c r="H5" s="23"/>
      <x:c r="I5" s="35"/>
      <x:c r="J5" s="23"/>
    </x:row>
    <x:row r="6" ht="36" customHeight="1">
      <x:c r="A6" s="23"/>
      <x:c r="B6" s="35"/>
      <x:c r="C6" s="23"/>
      <x:c r="D6" s="23"/>
      <x:c r="E6" s="23"/>
      <x:c r="F6" s="23"/>
      <x:c r="G6" s="23"/>
      <x:c r="H6" s="23"/>
      <x:c r="I6" s="35"/>
      <x:c r="J6" s="23"/>
    </x:row>
    <x:row r="7" ht="36" customHeight="1">
      <x:c r="A7" s="23"/>
      <x:c r="B7" s="35"/>
      <x:c r="C7" s="23"/>
      <x:c r="D7" s="23"/>
      <x:c r="E7" s="23"/>
      <x:c r="F7" s="23"/>
      <x:c r="G7" s="23"/>
      <x:c r="H7" s="23"/>
      <x:c r="I7" s="35"/>
      <x:c r="J7" s="23"/>
    </x:row>
    <x:row r="8" ht="36" customHeight="1">
      <x:c r="A8" s="23"/>
      <x:c r="B8" s="35"/>
      <x:c r="C8" s="23"/>
      <x:c r="D8" s="23"/>
      <x:c r="E8" s="23"/>
      <x:c r="F8" s="23"/>
      <x:c r="G8" s="23"/>
      <x:c r="H8" s="23"/>
      <x:c r="I8" s="35"/>
      <x:c r="J8" s="23"/>
    </x:row>
    <x:row r="9" ht="36" customHeight="1">
      <x:c r="A9" s="23"/>
      <x:c r="B9" s="35"/>
      <x:c r="C9" s="23"/>
      <x:c r="D9" s="23"/>
      <x:c r="E9" s="23"/>
      <x:c r="F9" s="23"/>
      <x:c r="G9" s="23"/>
      <x:c r="H9" s="23"/>
      <x:c r="I9" s="35"/>
      <x:c r="J9" s="23"/>
    </x:row>
    <x:row r="10" ht="36" customHeight="1">
      <x:c r="A10" s="23"/>
      <x:c r="B10" s="35"/>
      <x:c r="C10" s="23"/>
      <x:c r="D10" s="23"/>
      <x:c r="E10" s="23"/>
      <x:c r="F10" s="23"/>
      <x:c r="G10" s="23"/>
      <x:c r="H10" s="23"/>
      <x:c r="I10" s="35"/>
      <x:c r="J10" s="23"/>
    </x:row>
    <x:row r="11" ht="36" customHeight="1">
      <x:c r="A11" s="23"/>
      <x:c r="B11" s="35"/>
      <x:c r="C11" s="23"/>
      <x:c r="D11" s="23"/>
      <x:c r="E11" s="23"/>
      <x:c r="F11" s="23"/>
      <x:c r="G11" s="23"/>
      <x:c r="H11" s="23"/>
      <x:c r="I11" s="35"/>
      <x:c r="J11" s="23"/>
    </x:row>
    <x:row r="12" ht="36" customHeight="1">
      <x:c r="A12" s="23"/>
      <x:c r="B12" s="35"/>
      <x:c r="C12" s="23"/>
      <x:c r="D12" s="23"/>
      <x:c r="E12" s="23"/>
      <x:c r="F12" s="23"/>
      <x:c r="G12" s="23"/>
      <x:c r="H12" s="23"/>
      <x:c r="I12" s="35"/>
      <x:c r="J12" s="23"/>
    </x:row>
    <x:row r="13" ht="36" customHeight="1">
      <x:c r="A13" s="23"/>
      <x:c r="B13" s="35"/>
      <x:c r="C13" s="23"/>
      <x:c r="D13" s="23"/>
      <x:c r="E13" s="23"/>
      <x:c r="F13" s="23"/>
      <x:c r="G13" s="23"/>
      <x:c r="H13" s="23"/>
      <x:c r="I13" s="35"/>
      <x:c r="J13" s="23"/>
    </x:row>
    <x:row r="14" ht="36" customHeight="1">
      <x:c r="A14" s="23"/>
      <x:c r="B14" s="35"/>
      <x:c r="C14" s="23"/>
      <x:c r="D14" s="23"/>
      <x:c r="E14" s="23"/>
      <x:c r="F14" s="23"/>
      <x:c r="G14" s="23"/>
      <x:c r="H14" s="23"/>
      <x:c r="I14" s="35"/>
      <x:c r="J14" s="23"/>
    </x:row>
    <x:row r="15" ht="36" customHeight="1">
      <x:c r="A15" s="23"/>
      <x:c r="B15" s="35"/>
      <x:c r="C15" s="23"/>
      <x:c r="D15" s="23"/>
      <x:c r="E15" s="23"/>
      <x:c r="F15" s="23"/>
      <x:c r="G15" s="23"/>
      <x:c r="H15" s="23"/>
      <x:c r="I15" s="35"/>
      <x:c r="J15" s="23"/>
    </x:row>
    <x:row r="16" ht="36" customHeight="1">
      <x:c r="A16" s="23"/>
      <x:c r="B16" s="35"/>
      <x:c r="C16" s="23"/>
      <x:c r="D16" s="23"/>
      <x:c r="E16" s="23"/>
      <x:c r="F16" s="23"/>
      <x:c r="G16" s="23"/>
      <x:c r="H16" s="23"/>
      <x:c r="I16" s="35"/>
      <x:c r="J16" s="23"/>
    </x:row>
    <x:row r="17" ht="36" customHeight="1">
      <x:c r="A17" s="23"/>
      <x:c r="B17" s="35"/>
      <x:c r="C17" s="23"/>
      <x:c r="D17" s="23"/>
      <x:c r="E17" s="23"/>
      <x:c r="F17" s="23"/>
      <x:c r="G17" s="23"/>
      <x:c r="H17" s="23"/>
      <x:c r="I17" s="35"/>
      <x:c r="J17" s="23"/>
    </x:row>
    <x:row r="18" ht="36" customHeight="1">
      <x:c r="A18" s="23"/>
      <x:c r="B18" s="35"/>
      <x:c r="C18" s="23"/>
      <x:c r="D18" s="23"/>
      <x:c r="E18" s="23"/>
      <x:c r="F18" s="23"/>
      <x:c r="G18" s="23"/>
      <x:c r="H18" s="23"/>
      <x:c r="I18" s="35"/>
      <x:c r="J18" s="23"/>
    </x:row>
    <x:row r="19" ht="36" customHeight="1">
      <x:c r="A19" s="23"/>
      <x:c r="B19" s="35"/>
      <x:c r="C19" s="23"/>
      <x:c r="D19" s="23"/>
      <x:c r="E19" s="23"/>
      <x:c r="F19" s="23"/>
      <x:c r="G19" s="23"/>
      <x:c r="H19" s="23"/>
      <x:c r="I19" s="35"/>
      <x:c r="J19" s="23"/>
    </x:row>
    <x:row r="20" ht="36" customHeight="1">
      <x:c r="A20" s="23"/>
      <x:c r="B20" s="35"/>
      <x:c r="C20" s="23"/>
      <x:c r="D20" s="23"/>
      <x:c r="E20" s="23"/>
      <x:c r="F20" s="23"/>
      <x:c r="G20" s="23"/>
      <x:c r="H20" s="23"/>
      <x:c r="I20" s="35"/>
      <x:c r="J20" s="23"/>
    </x:row>
    <x:row r="21" ht="36" customHeight="1">
      <x:c r="A21" s="23"/>
      <x:c r="B21" s="35"/>
      <x:c r="C21" s="23"/>
      <x:c r="D21" s="23"/>
      <x:c r="E21" s="23"/>
      <x:c r="F21" s="23"/>
      <x:c r="G21" s="23"/>
      <x:c r="H21" s="23"/>
      <x:c r="I21" s="35"/>
      <x:c r="J21" s="23"/>
    </x:row>
    <x:row r="22" ht="36" customHeight="1">
      <x:c r="A22" s="23"/>
      <x:c r="B22" s="35"/>
      <x:c r="C22" s="23"/>
      <x:c r="D22" s="23"/>
      <x:c r="E22" s="23"/>
      <x:c r="F22" s="23"/>
      <x:c r="G22" s="23"/>
      <x:c r="H22" s="23"/>
      <x:c r="I22" s="35"/>
      <x:c r="J22" s="23"/>
    </x:row>
    <x:row r="23" ht="36" customHeight="1">
      <x:c r="A23" s="23"/>
      <x:c r="B23" s="35"/>
      <x:c r="C23" s="23"/>
      <x:c r="D23" s="23"/>
      <x:c r="E23" s="23"/>
      <x:c r="F23" s="23"/>
      <x:c r="G23" s="23"/>
      <x:c r="H23" s="23"/>
      <x:c r="I23" s="35"/>
      <x:c r="J23" s="23"/>
    </x:row>
    <x:row r="24" ht="36" customHeight="1">
      <x:c r="A24" s="23"/>
      <x:c r="B24" s="35"/>
      <x:c r="C24" s="23"/>
      <x:c r="D24" s="23"/>
      <x:c r="E24" s="23"/>
      <x:c r="F24" s="23"/>
      <x:c r="G24" s="23"/>
      <x:c r="H24" s="23"/>
      <x:c r="I24" s="35"/>
      <x:c r="J24" s="23"/>
    </x:row>
    <x:row r="25" ht="36" customHeight="1">
      <x:c r="A25" s="23"/>
      <x:c r="B25" s="35"/>
      <x:c r="C25" s="23"/>
      <x:c r="D25" s="23"/>
      <x:c r="E25" s="23"/>
      <x:c r="F25" s="23"/>
      <x:c r="G25" s="23"/>
      <x:c r="H25" s="23"/>
      <x:c r="I25" s="35"/>
      <x:c r="J25" s="23"/>
    </x:row>
    <x:row r="26" ht="36" customHeight="1">
      <x:c r="A26" s="23"/>
      <x:c r="B26" s="35"/>
      <x:c r="C26" s="23"/>
      <x:c r="D26" s="23"/>
      <x:c r="E26" s="23"/>
      <x:c r="F26" s="23"/>
      <x:c r="G26" s="23"/>
      <x:c r="H26" s="23"/>
      <x:c r="I26" s="35"/>
      <x:c r="J26" s="23"/>
    </x:row>
    <x:row r="27" ht="36" customHeight="1">
      <x:c r="A27" s="23"/>
      <x:c r="B27" s="35"/>
      <x:c r="C27" s="23"/>
      <x:c r="D27" s="23"/>
      <x:c r="E27" s="23"/>
      <x:c r="F27" s="23"/>
      <x:c r="G27" s="23"/>
      <x:c r="H27" s="23"/>
      <x:c r="I27" s="35"/>
      <x:c r="J27" s="23"/>
    </x:row>
    <x:row r="28" ht="36" customHeight="1">
      <x:c r="A28" s="23"/>
      <x:c r="B28" s="35"/>
      <x:c r="C28" s="23"/>
      <x:c r="D28" s="23"/>
      <x:c r="E28" s="23"/>
      <x:c r="F28" s="23"/>
      <x:c r="G28" s="23"/>
      <x:c r="H28" s="23"/>
      <x:c r="I28" s="35"/>
      <x:c r="J28" s="23"/>
    </x:row>
    <x:row r="29" ht="36" customHeight="1">
      <x:c r="A29" s="23"/>
      <x:c r="B29" s="35"/>
      <x:c r="C29" s="23"/>
      <x:c r="D29" s="23"/>
      <x:c r="E29" s="23"/>
      <x:c r="F29" s="23"/>
      <x:c r="G29" s="23"/>
      <x:c r="H29" s="23"/>
      <x:c r="I29" s="35"/>
      <x:c r="J29" s="23"/>
    </x:row>
    <x:row r="30" ht="36" customHeight="1">
      <x:c r="A30" s="23"/>
      <x:c r="B30" s="35"/>
      <x:c r="C30" s="23"/>
      <x:c r="D30" s="23"/>
      <x:c r="E30" s="23"/>
      <x:c r="F30" s="23"/>
      <x:c r="G30" s="23"/>
      <x:c r="H30" s="23"/>
      <x:c r="I30" s="35"/>
      <x:c r="J30" s="23"/>
    </x:row>
    <x:row r="31" ht="36" customHeight="1">
      <x:c r="A31" s="23"/>
      <x:c r="B31" s="35"/>
      <x:c r="C31" s="23"/>
      <x:c r="D31" s="23"/>
      <x:c r="E31" s="23"/>
      <x:c r="F31" s="23"/>
      <x:c r="G31" s="23"/>
      <x:c r="H31" s="23"/>
      <x:c r="I31" s="35"/>
      <x:c r="J31" s="23"/>
    </x:row>
    <x:row r="32" ht="36" customHeight="1">
      <x:c r="A32" s="23"/>
      <x:c r="B32" s="35"/>
      <x:c r="C32" s="23"/>
      <x:c r="D32" s="23"/>
      <x:c r="E32" s="23"/>
      <x:c r="F32" s="23"/>
      <x:c r="G32" s="23"/>
      <x:c r="H32" s="23"/>
      <x:c r="I32" s="35"/>
      <x:c r="J32" s="23"/>
    </x:row>
    <x:row r="33" ht="36" customHeight="1">
      <x:c r="A33" s="23"/>
      <x:c r="B33" s="35"/>
      <x:c r="C33" s="23"/>
      <x:c r="D33" s="23"/>
      <x:c r="E33" s="23"/>
      <x:c r="F33" s="23"/>
      <x:c r="G33" s="23"/>
      <x:c r="H33" s="23"/>
      <x:c r="I33" s="35"/>
      <x:c r="J33" s="23"/>
    </x:row>
    <x:row r="34" ht="36" customHeight="1">
      <x:c r="A34" s="23"/>
      <x:c r="B34" s="35"/>
      <x:c r="C34" s="23"/>
      <x:c r="D34" s="23"/>
      <x:c r="E34" s="23"/>
      <x:c r="F34" s="23"/>
      <x:c r="G34" s="23"/>
      <x:c r="H34" s="23"/>
      <x:c r="I34" s="35"/>
      <x:c r="J34" s="23"/>
    </x:row>
    <x:row r="35" ht="36" customHeight="1">
      <x:c r="A35" s="23"/>
      <x:c r="B35" s="35"/>
      <x:c r="C35" s="23"/>
      <x:c r="D35" s="23"/>
      <x:c r="E35" s="23"/>
      <x:c r="F35" s="23"/>
      <x:c r="G35" s="23"/>
      <x:c r="H35" s="23"/>
      <x:c r="I35" s="35"/>
      <x:c r="J35" s="23"/>
    </x:row>
    <x:row r="36" ht="36" customHeight="1">
      <x:c r="A36" s="23"/>
      <x:c r="B36" s="35"/>
      <x:c r="C36" s="23"/>
      <x:c r="D36" s="23"/>
      <x:c r="E36" s="23"/>
      <x:c r="F36" s="23"/>
      <x:c r="G36" s="23"/>
      <x:c r="H36" s="23"/>
      <x:c r="I36" s="35"/>
      <x:c r="J36" s="23"/>
    </x:row>
    <x:row r="37" ht="36" customHeight="1">
      <x:c r="A37" s="23"/>
      <x:c r="B37" s="35"/>
      <x:c r="C37" s="23"/>
      <x:c r="D37" s="23"/>
      <x:c r="E37" s="23"/>
      <x:c r="F37" s="23"/>
      <x:c r="G37" s="23"/>
      <x:c r="H37" s="23"/>
      <x:c r="I37" s="35"/>
      <x:c r="J37" s="23"/>
    </x:row>
    <x:row r="38" ht="36" customHeight="1">
      <x:c r="A38" s="23"/>
      <x:c r="B38" s="35"/>
      <x:c r="C38" s="23"/>
      <x:c r="D38" s="23"/>
      <x:c r="E38" s="23"/>
      <x:c r="F38" s="23"/>
      <x:c r="G38" s="23"/>
      <x:c r="H38" s="23"/>
      <x:c r="I38" s="35"/>
      <x:c r="J38" s="23"/>
    </x:row>
    <x:row r="39" ht="36" customHeight="1">
      <x:c r="A39" s="23"/>
      <x:c r="B39" s="35"/>
      <x:c r="C39" s="23"/>
      <x:c r="D39" s="23"/>
      <x:c r="E39" s="23"/>
      <x:c r="F39" s="23"/>
      <x:c r="G39" s="23"/>
      <x:c r="H39" s="23"/>
      <x:c r="I39" s="35"/>
      <x:c r="J39" s="23"/>
    </x:row>
    <x:row r="40" ht="36" customHeight="1">
      <x:c r="A40" s="23"/>
      <x:c r="B40" s="35"/>
      <x:c r="C40" s="23"/>
      <x:c r="D40" s="23"/>
      <x:c r="E40" s="23"/>
      <x:c r="F40" s="23"/>
      <x:c r="G40" s="23"/>
      <x:c r="H40" s="23"/>
      <x:c r="I40" s="35"/>
      <x:c r="J40" s="23"/>
    </x:row>
    <x:row r="41" ht="36" customHeight="1">
      <x:c r="A41" s="23"/>
      <x:c r="B41" s="35"/>
      <x:c r="C41" s="23"/>
      <x:c r="D41" s="23"/>
      <x:c r="E41" s="23"/>
      <x:c r="F41" s="23"/>
      <x:c r="G41" s="23"/>
      <x:c r="H41" s="23"/>
      <x:c r="I41" s="35"/>
      <x:c r="J41" s="23"/>
    </x:row>
    <x:row r="42" ht="36" customHeight="1">
      <x:c r="A42" s="23"/>
      <x:c r="B42" s="35"/>
      <x:c r="C42" s="23"/>
      <x:c r="D42" s="23"/>
      <x:c r="E42" s="23"/>
      <x:c r="F42" s="23"/>
      <x:c r="G42" s="23"/>
      <x:c r="H42" s="23"/>
      <x:c r="I42" s="35"/>
      <x:c r="J42" s="23"/>
    </x:row>
    <x:row r="43" ht="36" customHeight="1">
      <x:c r="A43" s="23"/>
      <x:c r="B43" s="35"/>
      <x:c r="C43" s="23"/>
      <x:c r="D43" s="23"/>
      <x:c r="E43" s="23"/>
      <x:c r="F43" s="23"/>
      <x:c r="G43" s="23"/>
      <x:c r="H43" s="23"/>
      <x:c r="I43" s="35"/>
      <x:c r="J43" s="23"/>
    </x:row>
    <x:row r="44" ht="36" customHeight="1">
      <x:c r="A44" s="23"/>
      <x:c r="B44" s="35"/>
      <x:c r="C44" s="23"/>
      <x:c r="D44" s="23"/>
      <x:c r="E44" s="23"/>
      <x:c r="F44" s="23"/>
      <x:c r="G44" s="23"/>
      <x:c r="H44" s="23"/>
      <x:c r="I44" s="35"/>
      <x:c r="J44" s="23"/>
    </x:row>
    <x:row r="45" ht="36" customHeight="1">
      <x:c r="A45" s="23"/>
      <x:c r="B45" s="35"/>
      <x:c r="C45" s="23"/>
      <x:c r="D45" s="23"/>
      <x:c r="E45" s="23"/>
      <x:c r="F45" s="23"/>
      <x:c r="G45" s="23"/>
      <x:c r="H45" s="23"/>
      <x:c r="I45" s="35"/>
      <x:c r="J45" s="23"/>
    </x:row>
    <x:row r="46" ht="36" customHeight="1">
      <x:c r="A46" s="23"/>
      <x:c r="B46" s="35"/>
      <x:c r="C46" s="23"/>
      <x:c r="D46" s="23"/>
      <x:c r="E46" s="23"/>
      <x:c r="F46" s="23"/>
      <x:c r="G46" s="23"/>
      <x:c r="H46" s="23"/>
      <x:c r="I46" s="35"/>
      <x:c r="J46" s="23"/>
    </x:row>
    <x:row r="47" ht="36" customHeight="1">
      <x:c r="A47" s="23"/>
      <x:c r="B47" s="35"/>
      <x:c r="C47" s="23"/>
      <x:c r="D47" s="23"/>
      <x:c r="E47" s="23"/>
      <x:c r="F47" s="23"/>
      <x:c r="G47" s="23"/>
      <x:c r="H47" s="23"/>
      <x:c r="I47" s="35"/>
      <x:c r="J47" s="23"/>
    </x:row>
    <x:row r="48" ht="36" customHeight="1">
      <x:c r="A48" s="23"/>
      <x:c r="B48" s="35"/>
      <x:c r="C48" s="23"/>
      <x:c r="D48" s="23"/>
      <x:c r="E48" s="23"/>
      <x:c r="F48" s="23"/>
      <x:c r="G48" s="23"/>
      <x:c r="H48" s="23"/>
      <x:c r="I48" s="35"/>
      <x:c r="J48" s="23"/>
    </x:row>
    <x:row r="49" ht="36" customHeight="1">
      <x:c r="A49" s="23"/>
      <x:c r="B49" s="35"/>
      <x:c r="C49" s="23"/>
      <x:c r="D49" s="23"/>
      <x:c r="E49" s="23"/>
      <x:c r="F49" s="23"/>
      <x:c r="G49" s="23"/>
      <x:c r="H49" s="23"/>
      <x:c r="I49" s="35"/>
      <x:c r="J49" s="23"/>
    </x:row>
    <x:row r="50" ht="36" customHeight="1">
      <x:c r="A50" s="23"/>
      <x:c r="B50" s="35"/>
      <x:c r="C50" s="23"/>
      <x:c r="D50" s="23"/>
      <x:c r="E50" s="23"/>
      <x:c r="F50" s="23"/>
      <x:c r="G50" s="23"/>
      <x:c r="H50" s="23"/>
      <x:c r="I50" s="35"/>
      <x:c r="J50" s="23"/>
    </x:row>
    <x:row r="51" ht="36" customHeight="1">
      <x:c r="A51" s="23"/>
      <x:c r="B51" s="35"/>
      <x:c r="C51" s="23"/>
      <x:c r="D51" s="23"/>
      <x:c r="E51" s="23"/>
      <x:c r="F51" s="23"/>
      <x:c r="G51" s="23"/>
      <x:c r="H51" s="23"/>
      <x:c r="I51" s="35"/>
      <x:c r="J51" s="23"/>
    </x:row>
    <x:row r="52" ht="36" customHeight="1">
      <x:c r="A52" s="23"/>
      <x:c r="B52" s="35"/>
      <x:c r="C52" s="23"/>
      <x:c r="D52" s="23"/>
      <x:c r="E52" s="23"/>
      <x:c r="F52" s="23"/>
      <x:c r="G52" s="23"/>
      <x:c r="H52" s="23"/>
      <x:c r="I52" s="35"/>
      <x:c r="J52" s="23"/>
    </x:row>
    <x:row r="53" ht="36" customHeight="1">
      <x:c r="A53" s="23"/>
      <x:c r="B53" s="35"/>
      <x:c r="C53" s="23"/>
      <x:c r="D53" s="23"/>
      <x:c r="E53" s="23"/>
      <x:c r="F53" s="23"/>
      <x:c r="G53" s="23"/>
      <x:c r="H53" s="23"/>
      <x:c r="I53" s="35"/>
      <x:c r="J53" s="23"/>
    </x:row>
    <x:row r="54" ht="36" customHeight="1">
      <x:c r="A54" s="26"/>
      <x:c r="B54" s="36"/>
      <x:c r="C54" s="26"/>
      <x:c r="D54" s="26"/>
      <x:c r="E54" s="26"/>
      <x:c r="F54" s="26"/>
      <x:c r="G54" s="26"/>
      <x:c r="H54" s="26"/>
      <x:c r="I54" s="36"/>
      <x:c r="J54" s="26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</x:row>
  </x:sheetData>
  <x:mergeCells>
    <x:mergeCell ref="A2:J2"/>
  </x:mergeCells>
  <x:dataValidations count="1">
    <x:dataValidation type="list" sqref="E5:E54">
      <x:formula1>"Approve controlled pilot,Approve with conditions,Request more evidence,Hold,Reject,Suspend,Close"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</x:row>
    <x:row r="2">
      <x:c r="A2" s="5" t="str">
        <x:v>Guidance and scoring rules</x:v>
      </x:c>
      <x:c r="B2" s="4"/>
      <x:c r="C2" s="4"/>
      <x:c r="D2" s="4"/>
      <x:c r="E2" s="4"/>
      <x:c r="F2" s="4"/>
      <x:c r="G2" s="4"/>
      <x:c r="H2" s="4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4"/>
      <x:c r="B4" s="4"/>
      <x:c r="C4" s="4"/>
      <x:c r="D4" s="4"/>
      <x:c r="E4" s="4"/>
      <x:c r="F4" s="4"/>
      <x:c r="G4" s="4"/>
      <x:c r="H4" s="4"/>
    </x:row>
    <x:row r="5" ht="52" customHeight="1">
      <x:c r="A5" s="46" t="str">
        <x:v>Purpose</x:v>
      </x:c>
      <x:c r="B5" s="48" t="str">
        <x:v>Use this workbook to identify AI use cases, screen them consistently, apply mandatory readiness gates, authorize controlled pilots and retain a decision trail.</x:v>
      </x:c>
      <x:c r="C5" s="4"/>
      <x:c r="D5" s="4"/>
      <x:c r="E5" s="4"/>
      <x:c r="F5" s="4"/>
      <x:c r="G5" s="4"/>
      <x:c r="H5" s="4"/>
    </x:row>
    <x:row r="6" ht="52" customHeight="1">
      <x:c r="A6" s="46" t="str">
        <x:v>Required sequence</x:v>
      </x:c>
      <x:c r="B6" s="48" t="str">
        <x:v>1 Register the use case. 2 Complete all 15 screening scores. 3 Review the priority score and risk class. 4 Apply all seven readiness gates. 5 Record the human decision and conditions. 6 Monitor the pilot against a success measure and stopping rule.</x:v>
      </x:c>
      <x:c r="C6" s="4"/>
      <x:c r="D6" s="4"/>
      <x:c r="E6" s="4"/>
      <x:c r="F6" s="4"/>
      <x:c r="G6" s="4"/>
      <x:c r="H6" s="4"/>
    </x:row>
    <x:row r="7" ht="52" customHeight="1">
      <x:c r="A7" s="46" t="str">
        <x:v>Value and feasibility scale</x:v>
      </x:c>
      <x:c r="B7" s="48" t="str">
        <x:v>1 = very weak; 2 = weak; 3 = adequate; 4 = strong; 5 = very strong. Enter evidence-based scores only. Blank means not yet assessed and is not the same as zero.</x:v>
      </x:c>
      <x:c r="C7" s="4"/>
      <x:c r="D7" s="4"/>
      <x:c r="E7" s="4"/>
      <x:c r="F7" s="4"/>
      <x:c r="G7" s="4"/>
      <x:c r="H7" s="4"/>
    </x:row>
    <x:row r="8" ht="52" customHeight="1">
      <x:c r="A8" s="46" t="str">
        <x:v>Risk scale</x:v>
      </x:c>
      <x:c r="B8" s="48" t="str">
        <x:v>1 = low; 2 = limited; 3 = material but manageable; 4 = high; 5 = critical. Risk classes: A &lt;2; B 2 to &lt;3; C 3 to &lt;4; D 4 or above.</x:v>
      </x:c>
      <x:c r="C8" s="4"/>
      <x:c r="D8" s="4"/>
      <x:c r="E8" s="4"/>
      <x:c r="F8" s="4"/>
      <x:c r="G8" s="4"/>
      <x:c r="H8" s="4"/>
    </x:row>
    <x:row r="9" ht="52" customHeight="1">
      <x:c r="A9" s="46" t="str">
        <x:v>Priority score</x:v>
      </x:c>
      <x:c r="B9" s="48" t="str">
        <x:v>45% value average + 35% feasibility average + 20% inverse risk (6 minus risk average). The score ranks comparable use cases. It is not an authorization decision.</x:v>
      </x:c>
      <x:c r="C9" s="4"/>
      <x:c r="D9" s="4"/>
      <x:c r="E9" s="4"/>
      <x:c r="F9" s="4"/>
      <x:c r="G9" s="4"/>
      <x:c r="H9" s="4"/>
    </x:row>
    <x:row r="10" ht="52" customHeight="1">
      <x:c r="A10" s="46" t="str">
        <x:v>Gate override</x:v>
      </x:c>
      <x:c r="B10" s="48" t="str">
        <x:v>A failed gate or a confirmed prohibited condition overrides the priority score. Conditional gates require named conditions, an owner and a review date before work starts.</x:v>
      </x:c>
      <x:c r="C10" s="4"/>
      <x:c r="D10" s="4"/>
      <x:c r="E10" s="4"/>
      <x:c r="F10" s="4"/>
      <x:c r="G10" s="4"/>
      <x:c r="H10" s="4"/>
    </x:row>
    <x:row r="11" ht="52" customHeight="1">
      <x:c r="A11" s="46" t="str">
        <x:v>Human authority</x:v>
      </x:c>
      <x:c r="B11" s="48" t="str">
        <x:v>The responsible statistical authority retains control of methods, confidential data, official estimates, revisions and releases. Do not allow an AI system to publish official statistics autonomously.</x:v>
      </x:c>
      <x:c r="C11" s="4"/>
      <x:c r="D11" s="4"/>
      <x:c r="E11" s="4"/>
      <x:c r="F11" s="4"/>
      <x:c r="G11" s="4"/>
      <x:c r="H11" s="4"/>
    </x:row>
    <x:row r="12" ht="52" customHeight="1">
      <x:c r="A12" s="46" t="str">
        <x:v>Minimum evidence pack</x:v>
      </x:c>
      <x:c r="B12" s="48" t="str">
        <x:v>Problem and baseline; data provenance and access approval; benchmark method; validation design; subgroup and geographic error analysis; security review; human oversight; monitoring, incident and exit plan; resource estimate.</x:v>
      </x:c>
      <x:c r="C12" s="4"/>
      <x:c r="D12" s="4"/>
      <x:c r="E12" s="4"/>
      <x:c r="F12" s="4"/>
      <x:c r="G12" s="4"/>
      <x:c r="H12" s="4"/>
    </x:row>
    <x:row r="13" ht="52" customHeight="1">
      <x:c r="A13" s="46" t="str">
        <x:v>Examples</x:v>
      </x:c>
      <x:c r="B13" s="48" t="str">
        <x:v>Possible cases include coding survey text, crop-area estimation with remote sensing, anomaly detection in administrative records, record linkage, assisted metadata drafting and quality-control support. Each still requires case-specific evidence.</x:v>
      </x:c>
      <x:c r="C13" s="4"/>
      <x:c r="D13" s="4"/>
      <x:c r="E13" s="4"/>
      <x:c r="F13" s="4"/>
      <x:c r="G13" s="4"/>
      <x:c r="H13" s="4"/>
    </x:row>
    <x:row r="14" ht="52" customHeight="1">
      <x:c r="A14" s="46" t="str">
        <x:v>Prohibited-condition examples</x:v>
      </x:c>
      <x:c r="B14" s="48" t="str">
        <x:v>Unapproved confidential-data transfer; unlawful processing; no accountable owner; autonomous official release; inability to reproduce or audit a material result; unacceptable discrimination or safety risk.</x:v>
      </x:c>
      <x:c r="C14" s="4"/>
      <x:c r="D14" s="4"/>
      <x:c r="E14" s="4"/>
      <x:c r="F14" s="4"/>
      <x:c r="G14" s="4"/>
      <x:c r="H14" s="4"/>
    </x:row>
    <x:row r="15" ht="52" customHeight="1">
      <x:c r="A15" s="49" t="str">
        <x:v>Workbook convention</x:v>
      </x:c>
      <x:c r="B15" s="50" t="str">
        <x:v>Amber cells are editable inputs. Pale grey-blue cells are formulas or linked results. Use stable use-case IDs across all sheets and cite evidence in the register, gate notes and decision log.</x:v>
      </x:c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  <x:row r="31">
      <x:c r="A31" s="4"/>
      <x:c r="B31" s="4"/>
      <x:c r="C31" s="4"/>
      <x:c r="D31" s="4"/>
      <x:c r="E31" s="4"/>
      <x:c r="F31" s="4"/>
      <x:c r="G31" s="4"/>
      <x:c r="H31" s="4"/>
    </x:row>
    <x:row r="32">
      <x:c r="A32" s="4"/>
      <x:c r="B32" s="4"/>
      <x:c r="C32" s="4"/>
      <x:c r="D32" s="4"/>
      <x:c r="E32" s="4"/>
      <x:c r="F32" s="4"/>
      <x:c r="G32" s="4"/>
      <x:c r="H32" s="4"/>
    </x:row>
    <x:row r="33">
      <x:c r="A33" s="4"/>
      <x:c r="B33" s="4"/>
      <x:c r="C33" s="4"/>
      <x:c r="D33" s="4"/>
      <x:c r="E33" s="4"/>
      <x:c r="F33" s="4"/>
      <x:c r="G33" s="4"/>
      <x:c r="H33" s="4"/>
    </x:row>
    <x:row r="34">
      <x:c r="A34" s="4"/>
      <x:c r="B34" s="4"/>
      <x:c r="C34" s="4"/>
      <x:c r="D34" s="4"/>
      <x:c r="E34" s="4"/>
      <x:c r="F34" s="4"/>
      <x:c r="G34" s="4"/>
      <x:c r="H34" s="4"/>
    </x:row>
    <x:row r="35">
      <x:c r="A35" s="4"/>
      <x:c r="B35" s="4"/>
      <x:c r="C35" s="4"/>
      <x:c r="D35" s="4"/>
      <x:c r="E35" s="4"/>
      <x:c r="F35" s="4"/>
      <x:c r="G35" s="4"/>
      <x:c r="H35" s="4"/>
    </x:row>
    <x:row r="36">
      <x:c r="A36" s="4"/>
      <x:c r="B36" s="4"/>
      <x:c r="C36" s="4"/>
      <x:c r="D36" s="4"/>
      <x:c r="E36" s="4"/>
      <x:c r="F36" s="4"/>
      <x:c r="G36" s="4"/>
      <x:c r="H36" s="4"/>
    </x:row>
    <x:row r="37">
      <x:c r="A37" s="4"/>
      <x:c r="B37" s="4"/>
      <x:c r="C37" s="4"/>
      <x:c r="D37" s="4"/>
      <x:c r="E37" s="4"/>
      <x:c r="F37" s="4"/>
      <x:c r="G37" s="4"/>
      <x:c r="H37" s="4"/>
    </x:row>
    <x:row r="38">
      <x:c r="A38" s="4"/>
      <x:c r="B38" s="4"/>
      <x:c r="C38" s="4"/>
      <x:c r="D38" s="4"/>
      <x:c r="E38" s="4"/>
      <x:c r="F38" s="4"/>
      <x:c r="G38" s="4"/>
      <x:c r="H38" s="4"/>
    </x:row>
    <x:row r="39">
      <x:c r="A39" s="4"/>
      <x:c r="B39" s="4"/>
      <x:c r="C39" s="4"/>
      <x:c r="D39" s="4"/>
      <x:c r="E39" s="4"/>
      <x:c r="F39" s="4"/>
      <x:c r="G39" s="4"/>
      <x:c r="H39" s="4"/>
    </x:row>
    <x:row r="40">
      <x:c r="A40" s="4"/>
      <x:c r="B40" s="4"/>
      <x:c r="C40" s="4"/>
      <x:c r="D40" s="4"/>
      <x:c r="E40" s="4"/>
      <x:c r="F40" s="4"/>
      <x:c r="G40" s="4"/>
      <x:c r="H40" s="4"/>
    </x:row>
    <x:row r="41">
      <x:c r="A41" s="4"/>
      <x:c r="B41" s="4"/>
      <x:c r="C41" s="4"/>
      <x:c r="D41" s="4"/>
      <x:c r="E41" s="4"/>
      <x:c r="F41" s="4"/>
      <x:c r="G41" s="4"/>
      <x:c r="H41" s="4"/>
    </x:row>
    <x:row r="42">
      <x:c r="A42" s="4"/>
      <x:c r="B42" s="4"/>
      <x:c r="C42" s="4"/>
      <x:c r="D42" s="4"/>
      <x:c r="E42" s="4"/>
      <x:c r="F42" s="4"/>
      <x:c r="G42" s="4"/>
      <x:c r="H42" s="4"/>
    </x:row>
    <x:row r="43">
      <x:c r="A43" s="4"/>
      <x:c r="B43" s="4"/>
      <x:c r="C43" s="4"/>
      <x:c r="D43" s="4"/>
      <x:c r="E43" s="4"/>
      <x:c r="F43" s="4"/>
      <x:c r="G43" s="4"/>
      <x:c r="H43" s="4"/>
    </x:row>
    <x:row r="44">
      <x:c r="A44" s="4"/>
      <x:c r="B44" s="4"/>
      <x:c r="C44" s="4"/>
      <x:c r="D44" s="4"/>
      <x:c r="E44" s="4"/>
      <x:c r="F44" s="4"/>
      <x:c r="G44" s="4"/>
      <x:c r="H44" s="4"/>
    </x:row>
    <x:row r="45">
      <x:c r="A45" s="4"/>
      <x:c r="B45" s="4"/>
      <x:c r="C45" s="4"/>
      <x:c r="D45" s="4"/>
      <x:c r="E45" s="4"/>
      <x:c r="F45" s="4"/>
      <x:c r="G45" s="4"/>
      <x:c r="H45" s="4"/>
    </x:row>
    <x:row r="46">
      <x:c r="A46" s="4"/>
      <x:c r="B46" s="4"/>
      <x:c r="C46" s="4"/>
      <x:c r="D46" s="4"/>
      <x:c r="E46" s="4"/>
      <x:c r="F46" s="4"/>
      <x:c r="G46" s="4"/>
      <x:c r="H46" s="4"/>
    </x:row>
    <x:row r="47">
      <x:c r="A47" s="4"/>
      <x:c r="B47" s="4"/>
      <x:c r="C47" s="4"/>
      <x:c r="D47" s="4"/>
      <x:c r="E47" s="4"/>
      <x:c r="F47" s="4"/>
      <x:c r="G47" s="4"/>
      <x:c r="H47" s="4"/>
    </x:row>
    <x:row r="48">
      <x:c r="A48" s="4"/>
      <x:c r="B48" s="4"/>
      <x:c r="C48" s="4"/>
      <x:c r="D48" s="4"/>
      <x:c r="E48" s="4"/>
      <x:c r="F48" s="4"/>
      <x:c r="G48" s="4"/>
      <x:c r="H48" s="4"/>
    </x:row>
    <x:row r="49">
      <x:c r="A49" s="4"/>
      <x:c r="B49" s="4"/>
      <x:c r="C49" s="4"/>
      <x:c r="D49" s="4"/>
      <x:c r="E49" s="4"/>
      <x:c r="F49" s="4"/>
      <x:c r="G49" s="4"/>
      <x:c r="H49" s="4"/>
    </x:row>
    <x:row r="50">
      <x:c r="A50" s="4"/>
      <x:c r="B50" s="4"/>
      <x:c r="C50" s="4"/>
      <x:c r="D50" s="4"/>
      <x:c r="E50" s="4"/>
      <x:c r="F50" s="4"/>
      <x:c r="G50" s="4"/>
      <x:c r="H50" s="4"/>
    </x:row>
    <x:row r="51">
      <x:c r="A51" s="4"/>
      <x:c r="B51" s="4"/>
      <x:c r="C51" s="4"/>
      <x:c r="D51" s="4"/>
      <x:c r="E51" s="4"/>
      <x:c r="F51" s="4"/>
      <x:c r="G51" s="4"/>
      <x:c r="H51" s="4"/>
    </x:row>
    <x:row r="52">
      <x:c r="A52" s="4"/>
      <x:c r="B52" s="4"/>
      <x:c r="C52" s="4"/>
      <x:c r="D52" s="4"/>
      <x:c r="E52" s="4"/>
      <x:c r="F52" s="4"/>
      <x:c r="G52" s="4"/>
      <x:c r="H52" s="4"/>
    </x:row>
    <x:row r="53">
      <x:c r="A53" s="4"/>
      <x:c r="B53" s="4"/>
      <x:c r="C53" s="4"/>
      <x:c r="D53" s="4"/>
      <x:c r="E53" s="4"/>
      <x:c r="F53" s="4"/>
      <x:c r="G53" s="4"/>
      <x:c r="H53" s="4"/>
    </x:row>
    <x:row r="54">
      <x:c r="A54" s="4"/>
      <x:c r="B54" s="4"/>
      <x:c r="C54" s="4"/>
      <x:c r="D54" s="4"/>
      <x:c r="E54" s="4"/>
      <x:c r="F54" s="4"/>
      <x:c r="G54" s="4"/>
      <x:c r="H54" s="4"/>
    </x:row>
    <x:row r="55">
      <x:c r="A55" s="4"/>
      <x:c r="B55" s="4"/>
      <x:c r="C55" s="4"/>
      <x:c r="D55" s="4"/>
      <x:c r="E55" s="4"/>
      <x:c r="F55" s="4"/>
      <x:c r="G55" s="4"/>
      <x:c r="H55" s="4"/>
    </x:row>
    <x:row r="56">
      <x:c r="A56" s="4"/>
      <x:c r="B56" s="4"/>
      <x:c r="C56" s="4"/>
      <x:c r="D56" s="4"/>
      <x:c r="E56" s="4"/>
      <x:c r="F56" s="4"/>
      <x:c r="G56" s="4"/>
      <x:c r="H56" s="4"/>
    </x:row>
    <x:row r="57">
      <x:c r="A57" s="4"/>
      <x:c r="B57" s="4"/>
      <x:c r="C57" s="4"/>
      <x:c r="D57" s="4"/>
      <x:c r="E57" s="4"/>
      <x:c r="F57" s="4"/>
      <x:c r="G57" s="4"/>
      <x:c r="H57" s="4"/>
    </x:row>
    <x:row r="58">
      <x:c r="A58" s="4"/>
      <x:c r="B58" s="4"/>
      <x:c r="C58" s="4"/>
      <x:c r="D58" s="4"/>
      <x:c r="E58" s="4"/>
      <x:c r="F58" s="4"/>
      <x:c r="G58" s="4"/>
      <x:c r="H58" s="4"/>
    </x:row>
    <x:row r="59">
      <x:c r="A59" s="4"/>
      <x:c r="B59" s="4"/>
      <x:c r="C59" s="4"/>
      <x:c r="D59" s="4"/>
      <x:c r="E59" s="4"/>
      <x:c r="F59" s="4"/>
      <x:c r="G59" s="4"/>
      <x:c r="H59" s="4"/>
    </x:row>
    <x:row r="60">
      <x:c r="A60" s="4"/>
      <x:c r="B60" s="4"/>
      <x:c r="C60" s="4"/>
      <x:c r="D60" s="4"/>
      <x:c r="E60" s="4"/>
      <x:c r="F60" s="4"/>
      <x:c r="G60" s="4"/>
      <x:c r="H60" s="4"/>
    </x:row>
    <x:row r="61">
      <x:c r="A61" s="4"/>
      <x:c r="B61" s="4"/>
      <x:c r="C61" s="4"/>
      <x:c r="D61" s="4"/>
      <x:c r="E61" s="4"/>
      <x:c r="F61" s="4"/>
      <x:c r="G61" s="4"/>
      <x:c r="H61" s="4"/>
    </x:row>
    <x:row r="62">
      <x:c r="A62" s="4"/>
      <x:c r="B62" s="4"/>
      <x:c r="C62" s="4"/>
      <x:c r="D62" s="4"/>
      <x:c r="E62" s="4"/>
      <x:c r="F62" s="4"/>
      <x:c r="G62" s="4"/>
      <x:c r="H62" s="4"/>
    </x:row>
    <x:row r="63">
      <x:c r="A63" s="4"/>
      <x:c r="B63" s="4"/>
      <x:c r="C63" s="4"/>
      <x:c r="D63" s="4"/>
      <x:c r="E63" s="4"/>
      <x:c r="F63" s="4"/>
      <x:c r="G63" s="4"/>
      <x:c r="H63" s="4"/>
    </x:row>
    <x:row r="64">
      <x:c r="A64" s="4"/>
      <x:c r="B64" s="4"/>
      <x:c r="C64" s="4"/>
      <x:c r="D64" s="4"/>
      <x:c r="E64" s="4"/>
      <x:c r="F64" s="4"/>
      <x:c r="G64" s="4"/>
      <x:c r="H64" s="4"/>
    </x:row>
    <x:row r="65">
      <x:c r="A65" s="4"/>
      <x:c r="B65" s="4"/>
      <x:c r="C65" s="4"/>
      <x:c r="D65" s="4"/>
      <x:c r="E65" s="4"/>
      <x:c r="F65" s="4"/>
      <x:c r="G65" s="4"/>
      <x:c r="H65" s="4"/>
    </x:row>
    <x:row r="66">
      <x:c r="A66" s="4"/>
      <x:c r="B66" s="4"/>
      <x:c r="C66" s="4"/>
      <x:c r="D66" s="4"/>
      <x:c r="E66" s="4"/>
      <x:c r="F66" s="4"/>
      <x:c r="G66" s="4"/>
      <x:c r="H66" s="4"/>
    </x:row>
    <x:row r="67">
      <x:c r="A67" s="4"/>
      <x:c r="B67" s="4"/>
      <x:c r="C67" s="4"/>
      <x:c r="D67" s="4"/>
      <x:c r="E67" s="4"/>
      <x:c r="F67" s="4"/>
      <x:c r="G67" s="4"/>
      <x:c r="H67" s="4"/>
    </x:row>
    <x:row r="68">
      <x:c r="A68" s="4"/>
      <x:c r="B68" s="4"/>
      <x:c r="C68" s="4"/>
      <x:c r="D68" s="4"/>
      <x:c r="E68" s="4"/>
      <x:c r="F68" s="4"/>
      <x:c r="G68" s="4"/>
      <x:c r="H68" s="4"/>
    </x:row>
    <x:row r="69">
      <x:c r="A69" s="4"/>
      <x:c r="B69" s="4"/>
      <x:c r="C69" s="4"/>
      <x:c r="D69" s="4"/>
      <x:c r="E69" s="4"/>
      <x:c r="F69" s="4"/>
      <x:c r="G69" s="4"/>
      <x:c r="H69" s="4"/>
    </x:row>
    <x:row r="70">
      <x:c r="A70" s="4"/>
      <x:c r="B70" s="4"/>
      <x:c r="C70" s="4"/>
      <x:c r="D70" s="4"/>
      <x:c r="E70" s="4"/>
      <x:c r="F70" s="4"/>
      <x:c r="G70" s="4"/>
      <x:c r="H70" s="4"/>
    </x:row>
    <x:row r="71">
      <x:c r="A71" s="4"/>
      <x:c r="B71" s="4"/>
      <x:c r="C71" s="4"/>
      <x:c r="D71" s="4"/>
      <x:c r="E71" s="4"/>
      <x:c r="F71" s="4"/>
      <x:c r="G71" s="4"/>
      <x:c r="H71" s="4"/>
    </x:row>
    <x:row r="72">
      <x:c r="A72" s="4"/>
      <x:c r="B72" s="4"/>
      <x:c r="C72" s="4"/>
      <x:c r="D72" s="4"/>
      <x:c r="E72" s="4"/>
      <x:c r="F72" s="4"/>
      <x:c r="G72" s="4"/>
      <x:c r="H72" s="4"/>
    </x:row>
    <x:row r="73">
      <x:c r="A73" s="4"/>
      <x:c r="B73" s="4"/>
      <x:c r="C73" s="4"/>
      <x:c r="D73" s="4"/>
      <x:c r="E73" s="4"/>
      <x:c r="F73" s="4"/>
      <x:c r="G73" s="4"/>
      <x:c r="H73" s="4"/>
    </x:row>
    <x:row r="74">
      <x:c r="A74" s="4"/>
      <x:c r="B74" s="4"/>
      <x:c r="C74" s="4"/>
      <x:c r="D74" s="4"/>
      <x:c r="E74" s="4"/>
      <x:c r="F74" s="4"/>
      <x:c r="G74" s="4"/>
      <x:c r="H74" s="4"/>
    </x:row>
    <x:row r="75">
      <x:c r="A75" s="4"/>
      <x:c r="B75" s="4"/>
      <x:c r="C75" s="4"/>
      <x:c r="D75" s="4"/>
      <x:c r="E75" s="4"/>
      <x:c r="F75" s="4"/>
      <x:c r="G75" s="4"/>
      <x:c r="H75" s="4"/>
    </x:row>
    <x:row r="76">
      <x:c r="A76" s="4"/>
      <x:c r="B76" s="4"/>
      <x:c r="C76" s="4"/>
      <x:c r="D76" s="4"/>
      <x:c r="E76" s="4"/>
      <x:c r="F76" s="4"/>
      <x:c r="G76" s="4"/>
      <x:c r="H76" s="4"/>
    </x:row>
    <x:row r="77">
      <x:c r="A77" s="4"/>
      <x:c r="B77" s="4"/>
      <x:c r="C77" s="4"/>
      <x:c r="D77" s="4"/>
      <x:c r="E77" s="4"/>
      <x:c r="F77" s="4"/>
      <x:c r="G77" s="4"/>
      <x:c r="H77" s="4"/>
    </x:row>
    <x:row r="78">
      <x:c r="A78" s="4"/>
      <x:c r="B78" s="4"/>
      <x:c r="C78" s="4"/>
      <x:c r="D78" s="4"/>
      <x:c r="E78" s="4"/>
      <x:c r="F78" s="4"/>
      <x:c r="G78" s="4"/>
      <x:c r="H78" s="4"/>
    </x:row>
    <x:row r="79">
      <x:c r="A79" s="4"/>
      <x:c r="B79" s="4"/>
      <x:c r="C79" s="4"/>
      <x:c r="D79" s="4"/>
      <x:c r="E79" s="4"/>
      <x:c r="F79" s="4"/>
      <x:c r="G79" s="4"/>
      <x:c r="H79" s="4"/>
    </x:row>
    <x:row r="80">
      <x:c r="A80" s="4"/>
      <x:c r="B80" s="4"/>
      <x:c r="C80" s="4"/>
      <x:c r="D80" s="4"/>
      <x:c r="E80" s="4"/>
      <x:c r="F80" s="4"/>
      <x:c r="G80" s="4"/>
      <x:c r="H80" s="4"/>
    </x:row>
    <x:row r="81">
      <x:c r="A81" s="4"/>
      <x:c r="B81" s="4"/>
      <x:c r="C81" s="4"/>
      <x:c r="D81" s="4"/>
      <x:c r="E81" s="4"/>
      <x:c r="F81" s="4"/>
      <x:c r="G81" s="4"/>
      <x:c r="H81" s="4"/>
    </x:row>
    <x:row r="82">
      <x:c r="A82" s="4"/>
      <x:c r="B82" s="4"/>
      <x:c r="C82" s="4"/>
      <x:c r="D82" s="4"/>
      <x:c r="E82" s="4"/>
      <x:c r="F82" s="4"/>
      <x:c r="G82" s="4"/>
      <x:c r="H82" s="4"/>
    </x:row>
    <x:row r="83">
      <x:c r="A83" s="4"/>
      <x:c r="B83" s="4"/>
      <x:c r="C83" s="4"/>
      <x:c r="D83" s="4"/>
      <x:c r="E83" s="4"/>
      <x:c r="F83" s="4"/>
      <x:c r="G83" s="4"/>
      <x:c r="H83" s="4"/>
    </x:row>
    <x:row r="84">
      <x:c r="A84" s="4"/>
      <x:c r="B84" s="4"/>
      <x:c r="C84" s="4"/>
      <x:c r="D84" s="4"/>
      <x:c r="E84" s="4"/>
      <x:c r="F84" s="4"/>
      <x:c r="G84" s="4"/>
      <x:c r="H84" s="4"/>
    </x:row>
    <x:row r="85">
      <x:c r="A85" s="4"/>
      <x:c r="B85" s="4"/>
      <x:c r="C85" s="4"/>
      <x:c r="D85" s="4"/>
      <x:c r="E85" s="4"/>
      <x:c r="F85" s="4"/>
      <x:c r="G85" s="4"/>
      <x:c r="H85" s="4"/>
    </x:row>
    <x:row r="86">
      <x:c r="A86" s="4"/>
      <x:c r="B86" s="4"/>
      <x:c r="C86" s="4"/>
      <x:c r="D86" s="4"/>
      <x:c r="E86" s="4"/>
      <x:c r="F86" s="4"/>
      <x:c r="G86" s="4"/>
      <x:c r="H86" s="4"/>
    </x:row>
    <x:row r="87">
      <x:c r="A87" s="4"/>
      <x:c r="B87" s="4"/>
      <x:c r="C87" s="4"/>
      <x:c r="D87" s="4"/>
      <x:c r="E87" s="4"/>
      <x:c r="F87" s="4"/>
      <x:c r="G87" s="4"/>
      <x:c r="H87" s="4"/>
    </x:row>
    <x:row r="88">
      <x:c r="A88" s="4"/>
      <x:c r="B88" s="4"/>
      <x:c r="C88" s="4"/>
      <x:c r="D88" s="4"/>
      <x:c r="E88" s="4"/>
      <x:c r="F88" s="4"/>
      <x:c r="G88" s="4"/>
      <x:c r="H88" s="4"/>
    </x:row>
    <x:row r="89">
      <x:c r="A89" s="4"/>
      <x:c r="B89" s="4"/>
      <x:c r="C89" s="4"/>
      <x:c r="D89" s="4"/>
      <x:c r="E89" s="4"/>
      <x:c r="F89" s="4"/>
      <x:c r="G89" s="4"/>
      <x:c r="H89" s="4"/>
    </x:row>
    <x:row r="90">
      <x:c r="A90" s="4"/>
      <x:c r="B90" s="4"/>
      <x:c r="C90" s="4"/>
      <x:c r="D90" s="4"/>
      <x:c r="E90" s="4"/>
      <x:c r="F90" s="4"/>
      <x:c r="G90" s="4"/>
      <x:c r="H90" s="4"/>
    </x:row>
    <x:row r="91">
      <x:c r="A91" s="4"/>
      <x:c r="B91" s="4"/>
      <x:c r="C91" s="4"/>
      <x:c r="D91" s="4"/>
      <x:c r="E91" s="4"/>
      <x:c r="F91" s="4"/>
      <x:c r="G91" s="4"/>
      <x:c r="H91" s="4"/>
    </x:row>
    <x:row r="92">
      <x:c r="A92" s="4"/>
      <x:c r="B92" s="4"/>
      <x:c r="C92" s="4"/>
      <x:c r="D92" s="4"/>
      <x:c r="E92" s="4"/>
      <x:c r="F92" s="4"/>
      <x:c r="G92" s="4"/>
      <x:c r="H92" s="4"/>
    </x:row>
    <x:row r="93">
      <x:c r="A93" s="4"/>
      <x:c r="B93" s="4"/>
      <x:c r="C93" s="4"/>
      <x:c r="D93" s="4"/>
      <x:c r="E93" s="4"/>
      <x:c r="F93" s="4"/>
      <x:c r="G93" s="4"/>
      <x:c r="H93" s="4"/>
    </x:row>
    <x:row r="94">
      <x:c r="A94" s="4"/>
      <x:c r="B94" s="4"/>
      <x:c r="C94" s="4"/>
      <x:c r="D94" s="4"/>
      <x:c r="E94" s="4"/>
      <x:c r="F94" s="4"/>
      <x:c r="G94" s="4"/>
      <x:c r="H94" s="4"/>
    </x:row>
    <x:row r="95">
      <x:c r="A95" s="4"/>
      <x:c r="B95" s="4"/>
      <x:c r="C95" s="4"/>
      <x:c r="D95" s="4"/>
      <x:c r="E95" s="4"/>
      <x:c r="F95" s="4"/>
      <x:c r="G95" s="4"/>
      <x:c r="H95" s="4"/>
    </x:row>
    <x:row r="96">
      <x:c r="A96" s="4"/>
      <x:c r="B96" s="4"/>
      <x:c r="C96" s="4"/>
      <x:c r="D96" s="4"/>
      <x:c r="E96" s="4"/>
      <x:c r="F96" s="4"/>
      <x:c r="G96" s="4"/>
      <x:c r="H96" s="4"/>
    </x:row>
    <x:row r="97">
      <x:c r="A97" s="4"/>
      <x:c r="B97" s="4"/>
      <x:c r="C97" s="4"/>
      <x:c r="D97" s="4"/>
      <x:c r="E97" s="4"/>
      <x:c r="F97" s="4"/>
      <x:c r="G97" s="4"/>
      <x:c r="H97" s="4"/>
    </x:row>
    <x:row r="98">
      <x:c r="A98" s="4"/>
      <x:c r="B98" s="4"/>
      <x:c r="C98" s="4"/>
      <x:c r="D98" s="4"/>
      <x:c r="E98" s="4"/>
      <x:c r="F98" s="4"/>
      <x:c r="G98" s="4"/>
      <x:c r="H98" s="4"/>
    </x:row>
    <x:row r="99">
      <x:c r="A99" s="4"/>
      <x:c r="B99" s="4"/>
      <x:c r="C99" s="4"/>
      <x:c r="D99" s="4"/>
      <x:c r="E99" s="4"/>
      <x:c r="F99" s="4"/>
      <x:c r="G99" s="4"/>
      <x:c r="H99" s="4"/>
    </x:row>
    <x:row r="100">
      <x:c r="A100" s="4"/>
      <x:c r="B100" s="4"/>
      <x:c r="C100" s="4"/>
      <x:c r="D100" s="4"/>
      <x:c r="E100" s="4"/>
      <x:c r="F100" s="4"/>
      <x:c r="G100" s="4"/>
      <x:c r="H100" s="4"/>
    </x:row>
    <x:row r="101">
      <x:c r="A101" s="4"/>
      <x:c r="B101" s="4"/>
      <x:c r="C101" s="4"/>
      <x:c r="D101" s="4"/>
      <x:c r="E101" s="4"/>
      <x:c r="F101" s="4"/>
      <x:c r="G101" s="4"/>
      <x:c r="H101" s="4"/>
    </x:row>
    <x:row r="102">
      <x:c r="A102" s="4"/>
      <x:c r="B102" s="4"/>
      <x:c r="C102" s="4"/>
      <x:c r="D102" s="4"/>
      <x:c r="E102" s="4"/>
      <x:c r="F102" s="4"/>
      <x:c r="G102" s="4"/>
      <x:c r="H102" s="4"/>
    </x:row>
    <x:row r="103">
      <x:c r="A103" s="4"/>
      <x:c r="B103" s="4"/>
      <x:c r="C103" s="4"/>
      <x:c r="D103" s="4"/>
      <x:c r="E103" s="4"/>
      <x:c r="F103" s="4"/>
      <x:c r="G103" s="4"/>
      <x:c r="H103" s="4"/>
    </x:row>
    <x:row r="104">
      <x:c r="A104" s="4"/>
      <x:c r="B104" s="4"/>
      <x:c r="C104" s="4"/>
      <x:c r="D104" s="4"/>
      <x:c r="E104" s="4"/>
      <x:c r="F104" s="4"/>
      <x:c r="G104" s="4"/>
      <x:c r="H104" s="4"/>
    </x:row>
    <x:row r="105">
      <x:c r="A105" s="4"/>
      <x:c r="B105" s="4"/>
      <x:c r="C105" s="4"/>
      <x:c r="D105" s="4"/>
      <x:c r="E105" s="4"/>
      <x:c r="F105" s="4"/>
      <x:c r="G105" s="4"/>
      <x:c r="H105" s="4"/>
    </x:row>
    <x:row r="106">
      <x:c r="A106" s="4"/>
      <x:c r="B106" s="4"/>
      <x:c r="C106" s="4"/>
      <x:c r="D106" s="4"/>
      <x:c r="E106" s="4"/>
      <x:c r="F106" s="4"/>
      <x:c r="G106" s="4"/>
      <x:c r="H106" s="4"/>
    </x:row>
    <x:row r="107">
      <x:c r="A107" s="4"/>
      <x:c r="B107" s="4"/>
      <x:c r="C107" s="4"/>
      <x:c r="D107" s="4"/>
      <x:c r="E107" s="4"/>
      <x:c r="F107" s="4"/>
      <x:c r="G107" s="4"/>
      <x:c r="H107" s="4"/>
    </x:row>
    <x:row r="108">
      <x:c r="A108" s="4"/>
      <x:c r="B108" s="4"/>
      <x:c r="C108" s="4"/>
      <x:c r="D108" s="4"/>
      <x:c r="E108" s="4"/>
      <x:c r="F108" s="4"/>
      <x:c r="G108" s="4"/>
      <x:c r="H108" s="4"/>
    </x:row>
    <x:row r="109">
      <x:c r="A109" s="4"/>
      <x:c r="B109" s="4"/>
      <x:c r="C109" s="4"/>
      <x:c r="D109" s="4"/>
      <x:c r="E109" s="4"/>
      <x:c r="F109" s="4"/>
      <x:c r="G109" s="4"/>
      <x:c r="H109" s="4"/>
    </x:row>
    <x:row r="110">
      <x:c r="A110" s="4"/>
      <x:c r="B110" s="4"/>
      <x:c r="C110" s="4"/>
      <x:c r="D110" s="4"/>
      <x:c r="E110" s="4"/>
      <x:c r="F110" s="4"/>
      <x:c r="G110" s="4"/>
      <x:c r="H110" s="4"/>
    </x:row>
    <x:row r="111">
      <x:c r="A111" s="4"/>
      <x:c r="B111" s="4"/>
      <x:c r="C111" s="4"/>
      <x:c r="D111" s="4"/>
      <x:c r="E111" s="4"/>
      <x:c r="F111" s="4"/>
      <x:c r="G111" s="4"/>
      <x:c r="H111" s="4"/>
    </x:row>
    <x:row r="112">
      <x:c r="A112" s="4"/>
      <x:c r="B112" s="4"/>
      <x:c r="C112" s="4"/>
      <x:c r="D112" s="4"/>
      <x:c r="E112" s="4"/>
      <x:c r="F112" s="4"/>
      <x:c r="G112" s="4"/>
      <x:c r="H112" s="4"/>
    </x:row>
    <x:row r="113">
      <x:c r="A113" s="4"/>
      <x:c r="B113" s="4"/>
      <x:c r="C113" s="4"/>
      <x:c r="D113" s="4"/>
      <x:c r="E113" s="4"/>
      <x:c r="F113" s="4"/>
      <x:c r="G113" s="4"/>
      <x:c r="H113" s="4"/>
    </x:row>
    <x:row r="114">
      <x:c r="A114" s="4"/>
      <x:c r="B114" s="4"/>
      <x:c r="C114" s="4"/>
      <x:c r="D114" s="4"/>
      <x:c r="E114" s="4"/>
      <x:c r="F114" s="4"/>
      <x:c r="G114" s="4"/>
      <x:c r="H114" s="4"/>
    </x:row>
    <x:row r="115">
      <x:c r="A115" s="4"/>
      <x:c r="B115" s="4"/>
      <x:c r="C115" s="4"/>
      <x:c r="D115" s="4"/>
      <x:c r="E115" s="4"/>
      <x:c r="F115" s="4"/>
      <x:c r="G115" s="4"/>
      <x:c r="H115" s="4"/>
    </x:row>
    <x:row r="116">
      <x:c r="A116" s="4"/>
      <x:c r="B116" s="4"/>
      <x:c r="C116" s="4"/>
      <x:c r="D116" s="4"/>
      <x:c r="E116" s="4"/>
      <x:c r="F116" s="4"/>
      <x:c r="G116" s="4"/>
      <x:c r="H116" s="4"/>
    </x:row>
    <x:row r="117">
      <x:c r="A117" s="4"/>
      <x:c r="B117" s="4"/>
      <x:c r="C117" s="4"/>
      <x:c r="D117" s="4"/>
      <x:c r="E117" s="4"/>
      <x:c r="F117" s="4"/>
      <x:c r="G117" s="4"/>
      <x:c r="H117" s="4"/>
    </x:row>
    <x:row r="118">
      <x:c r="A118" s="4"/>
      <x:c r="B118" s="4"/>
      <x:c r="C118" s="4"/>
      <x:c r="D118" s="4"/>
      <x:c r="E118" s="4"/>
      <x:c r="F118" s="4"/>
      <x:c r="G118" s="4"/>
      <x:c r="H118" s="4"/>
    </x:row>
    <x:row r="119">
      <x:c r="A119" s="4"/>
      <x:c r="B119" s="4"/>
      <x:c r="C119" s="4"/>
      <x:c r="D119" s="4"/>
      <x:c r="E119" s="4"/>
      <x:c r="F119" s="4"/>
      <x:c r="G119" s="4"/>
      <x:c r="H119" s="4"/>
    </x:row>
    <x:row r="120">
      <x:c r="A120" s="4"/>
      <x:c r="B120" s="4"/>
      <x:c r="C120" s="4"/>
      <x:c r="D120" s="4"/>
      <x:c r="E120" s="4"/>
      <x:c r="F120" s="4"/>
      <x:c r="G120" s="4"/>
      <x:c r="H120" s="4"/>
    </x:row>
    <x:row r="121">
      <x:c r="A121" s="4"/>
      <x:c r="B121" s="4"/>
      <x:c r="C121" s="4"/>
      <x:c r="D121" s="4"/>
      <x:c r="E121" s="4"/>
      <x:c r="F121" s="4"/>
      <x:c r="G121" s="4"/>
      <x:c r="H121" s="4"/>
    </x:row>
    <x:row r="122">
      <x:c r="A122" s="4"/>
      <x:c r="B122" s="4"/>
      <x:c r="C122" s="4"/>
      <x:c r="D122" s="4"/>
      <x:c r="E122" s="4"/>
      <x:c r="F122" s="4"/>
      <x:c r="G122" s="4"/>
      <x:c r="H122" s="4"/>
    </x:row>
    <x:row r="123">
      <x:c r="A123" s="4"/>
      <x:c r="B123" s="4"/>
      <x:c r="C123" s="4"/>
      <x:c r="D123" s="4"/>
      <x:c r="E123" s="4"/>
      <x:c r="F123" s="4"/>
      <x:c r="G123" s="4"/>
      <x:c r="H123" s="4"/>
    </x:row>
    <x:row r="124">
      <x:c r="A124" s="4"/>
      <x:c r="B124" s="4"/>
      <x:c r="C124" s="4"/>
      <x:c r="D124" s="4"/>
      <x:c r="E124" s="4"/>
      <x:c r="F124" s="4"/>
      <x:c r="G124" s="4"/>
      <x:c r="H124" s="4"/>
    </x:row>
    <x:row r="125">
      <x:c r="A125" s="4"/>
      <x:c r="B125" s="4"/>
      <x:c r="C125" s="4"/>
      <x:c r="D125" s="4"/>
      <x:c r="E125" s="4"/>
      <x:c r="F125" s="4"/>
      <x:c r="G125" s="4"/>
      <x:c r="H125" s="4"/>
    </x:row>
    <x:row r="126">
      <x:c r="A126" s="4"/>
      <x:c r="B126" s="4"/>
      <x:c r="C126" s="4"/>
      <x:c r="D126" s="4"/>
      <x:c r="E126" s="4"/>
      <x:c r="F126" s="4"/>
      <x:c r="G126" s="4"/>
      <x:c r="H126" s="4"/>
    </x:row>
    <x:row r="127">
      <x:c r="A127" s="4"/>
      <x:c r="B127" s="4"/>
      <x:c r="C127" s="4"/>
      <x:c r="D127" s="4"/>
      <x:c r="E127" s="4"/>
      <x:c r="F127" s="4"/>
      <x:c r="G127" s="4"/>
      <x:c r="H127" s="4"/>
    </x:row>
    <x:row r="128">
      <x:c r="A128" s="4"/>
      <x:c r="B128" s="4"/>
      <x:c r="C128" s="4"/>
      <x:c r="D128" s="4"/>
      <x:c r="E128" s="4"/>
      <x:c r="F128" s="4"/>
      <x:c r="G128" s="4"/>
      <x:c r="H128" s="4"/>
    </x:row>
    <x:row r="129">
      <x:c r="A129" s="4"/>
      <x:c r="B129" s="4"/>
      <x:c r="C129" s="4"/>
      <x:c r="D129" s="4"/>
      <x:c r="E129" s="4"/>
      <x:c r="F129" s="4"/>
      <x:c r="G129" s="4"/>
      <x:c r="H129" s="4"/>
    </x:row>
    <x:row r="130">
      <x:c r="A130" s="4"/>
      <x:c r="B130" s="4"/>
      <x:c r="C130" s="4"/>
      <x:c r="D130" s="4"/>
      <x:c r="E130" s="4"/>
      <x:c r="F130" s="4"/>
      <x:c r="G130" s="4"/>
      <x:c r="H130" s="4"/>
    </x:row>
    <x:row r="131">
      <x:c r="A131" s="4"/>
      <x:c r="B131" s="4"/>
      <x:c r="C131" s="4"/>
      <x:c r="D131" s="4"/>
      <x:c r="E131" s="4"/>
      <x:c r="F131" s="4"/>
      <x:c r="G131" s="4"/>
      <x:c r="H131" s="4"/>
    </x:row>
    <x:row r="132">
      <x:c r="A132" s="4"/>
      <x:c r="B132" s="4"/>
      <x:c r="C132" s="4"/>
      <x:c r="D132" s="4"/>
      <x:c r="E132" s="4"/>
      <x:c r="F132" s="4"/>
      <x:c r="G132" s="4"/>
      <x:c r="H132" s="4"/>
    </x:row>
    <x:row r="133">
      <x:c r="A133" s="4"/>
      <x:c r="B133" s="4"/>
      <x:c r="C133" s="4"/>
      <x:c r="D133" s="4"/>
      <x:c r="E133" s="4"/>
      <x:c r="F133" s="4"/>
      <x:c r="G133" s="4"/>
      <x:c r="H133" s="4"/>
    </x:row>
    <x:row r="134">
      <x:c r="A134" s="4"/>
      <x:c r="B134" s="4"/>
      <x:c r="C134" s="4"/>
      <x:c r="D134" s="4"/>
      <x:c r="E134" s="4"/>
      <x:c r="F134" s="4"/>
      <x:c r="G134" s="4"/>
      <x:c r="H134" s="4"/>
    </x:row>
    <x:row r="135">
      <x:c r="A135" s="4"/>
      <x:c r="B135" s="4"/>
      <x:c r="C135" s="4"/>
      <x:c r="D135" s="4"/>
      <x:c r="E135" s="4"/>
      <x:c r="F135" s="4"/>
      <x:c r="G135" s="4"/>
      <x:c r="H135" s="4"/>
    </x:row>
    <x:row r="136">
      <x:c r="A136" s="4"/>
      <x:c r="B136" s="4"/>
      <x:c r="C136" s="4"/>
      <x:c r="D136" s="4"/>
      <x:c r="E136" s="4"/>
      <x:c r="F136" s="4"/>
      <x:c r="G136" s="4"/>
      <x:c r="H136" s="4"/>
    </x:row>
    <x:row r="137">
      <x:c r="A137" s="4"/>
      <x:c r="B137" s="4"/>
      <x:c r="C137" s="4"/>
      <x:c r="D137" s="4"/>
      <x:c r="E137" s="4"/>
      <x:c r="F137" s="4"/>
      <x:c r="G137" s="4"/>
      <x:c r="H137" s="4"/>
    </x:row>
    <x:row r="138">
      <x:c r="A138" s="4"/>
      <x:c r="B138" s="4"/>
      <x:c r="C138" s="4"/>
      <x:c r="D138" s="4"/>
      <x:c r="E138" s="4"/>
      <x:c r="F138" s="4"/>
      <x:c r="G138" s="4"/>
      <x:c r="H138" s="4"/>
    </x:row>
    <x:row r="139">
      <x:c r="A139" s="4"/>
      <x:c r="B139" s="4"/>
      <x:c r="C139" s="4"/>
      <x:c r="D139" s="4"/>
      <x:c r="E139" s="4"/>
      <x:c r="F139" s="4"/>
      <x:c r="G139" s="4"/>
      <x:c r="H139" s="4"/>
    </x:row>
    <x:row r="140">
      <x:c r="A140" s="4"/>
      <x:c r="B140" s="4"/>
      <x:c r="C140" s="4"/>
      <x:c r="D140" s="4"/>
      <x:c r="E140" s="4"/>
      <x:c r="F140" s="4"/>
      <x:c r="G140" s="4"/>
      <x:c r="H140" s="4"/>
    </x:row>
    <x:row r="141">
      <x:c r="A141" s="4"/>
      <x:c r="B141" s="4"/>
      <x:c r="C141" s="4"/>
      <x:c r="D141" s="4"/>
      <x:c r="E141" s="4"/>
      <x:c r="F141" s="4"/>
      <x:c r="G141" s="4"/>
      <x:c r="H141" s="4"/>
    </x:row>
    <x:row r="142">
      <x:c r="A142" s="4"/>
      <x:c r="B142" s="4"/>
      <x:c r="C142" s="4"/>
      <x:c r="D142" s="4"/>
      <x:c r="E142" s="4"/>
      <x:c r="F142" s="4"/>
      <x:c r="G142" s="4"/>
      <x:c r="H142" s="4"/>
    </x:row>
    <x:row r="143">
      <x:c r="A143" s="4"/>
      <x:c r="B143" s="4"/>
      <x:c r="C143" s="4"/>
      <x:c r="D143" s="4"/>
      <x:c r="E143" s="4"/>
      <x:c r="F143" s="4"/>
      <x:c r="G143" s="4"/>
      <x:c r="H143" s="4"/>
    </x:row>
    <x:row r="144">
      <x:c r="A144" s="4"/>
      <x:c r="B144" s="4"/>
      <x:c r="C144" s="4"/>
      <x:c r="D144" s="4"/>
      <x:c r="E144" s="4"/>
      <x:c r="F144" s="4"/>
      <x:c r="G144" s="4"/>
      <x:c r="H144" s="4"/>
    </x:row>
    <x:row r="145">
      <x:c r="A145" s="4"/>
      <x:c r="B145" s="4"/>
      <x:c r="C145" s="4"/>
      <x:c r="D145" s="4"/>
      <x:c r="E145" s="4"/>
      <x:c r="F145" s="4"/>
      <x:c r="G145" s="4"/>
      <x:c r="H145" s="4"/>
    </x:row>
    <x:row r="146">
      <x:c r="A146" s="4"/>
      <x:c r="B146" s="4"/>
      <x:c r="C146" s="4"/>
      <x:c r="D146" s="4"/>
      <x:c r="E146" s="4"/>
      <x:c r="F146" s="4"/>
      <x:c r="G146" s="4"/>
      <x:c r="H146" s="4"/>
    </x:row>
    <x:row r="147">
      <x:c r="A147" s="4"/>
      <x:c r="B147" s="4"/>
      <x:c r="C147" s="4"/>
      <x:c r="D147" s="4"/>
      <x:c r="E147" s="4"/>
      <x:c r="F147" s="4"/>
      <x:c r="G147" s="4"/>
      <x:c r="H147" s="4"/>
    </x:row>
    <x:row r="148">
      <x:c r="A148" s="4"/>
      <x:c r="B148" s="4"/>
      <x:c r="C148" s="4"/>
      <x:c r="D148" s="4"/>
      <x:c r="E148" s="4"/>
      <x:c r="F148" s="4"/>
      <x:c r="G148" s="4"/>
      <x:c r="H148" s="4"/>
    </x:row>
    <x:row r="149">
      <x:c r="A149" s="4"/>
      <x:c r="B149" s="4"/>
      <x:c r="C149" s="4"/>
      <x:c r="D149" s="4"/>
      <x:c r="E149" s="4"/>
      <x:c r="F149" s="4"/>
      <x:c r="G149" s="4"/>
      <x:c r="H149" s="4"/>
    </x:row>
    <x:row r="150">
      <x:c r="A150" s="4"/>
      <x:c r="B150" s="4"/>
      <x:c r="C150" s="4"/>
      <x:c r="D150" s="4"/>
      <x:c r="E150" s="4"/>
      <x:c r="F150" s="4"/>
      <x:c r="G150" s="4"/>
      <x:c r="H150" s="4"/>
    </x:row>
    <x:row r="151">
      <x:c r="A151" s="4"/>
      <x:c r="B151" s="4"/>
      <x:c r="C151" s="4"/>
      <x:c r="D151" s="4"/>
      <x:c r="E151" s="4"/>
      <x:c r="F151" s="4"/>
      <x:c r="G151" s="4"/>
      <x:c r="H151" s="4"/>
    </x:row>
    <x:row r="152">
      <x:c r="A152" s="4"/>
      <x:c r="B152" s="4"/>
      <x:c r="C152" s="4"/>
      <x:c r="D152" s="4"/>
      <x:c r="E152" s="4"/>
      <x:c r="F152" s="4"/>
      <x:c r="G152" s="4"/>
      <x:c r="H152" s="4"/>
    </x:row>
    <x:row r="153">
      <x:c r="A153" s="4"/>
      <x:c r="B153" s="4"/>
      <x:c r="C153" s="4"/>
      <x:c r="D153" s="4"/>
      <x:c r="E153" s="4"/>
      <x:c r="F153" s="4"/>
      <x:c r="G153" s="4"/>
      <x:c r="H153" s="4"/>
    </x:row>
    <x:row r="154">
      <x:c r="A154" s="4"/>
      <x:c r="B154" s="4"/>
      <x:c r="C154" s="4"/>
      <x:c r="D154" s="4"/>
      <x:c r="E154" s="4"/>
      <x:c r="F154" s="4"/>
      <x:c r="G154" s="4"/>
      <x:c r="H154" s="4"/>
    </x:row>
    <x:row r="155">
      <x:c r="A155" s="4"/>
      <x:c r="B155" s="4"/>
      <x:c r="C155" s="4"/>
      <x:c r="D155" s="4"/>
      <x:c r="E155" s="4"/>
      <x:c r="F155" s="4"/>
      <x:c r="G155" s="4"/>
      <x:c r="H155" s="4"/>
    </x:row>
    <x:row r="156">
      <x:c r="A156" s="4"/>
      <x:c r="B156" s="4"/>
      <x:c r="C156" s="4"/>
      <x:c r="D156" s="4"/>
      <x:c r="E156" s="4"/>
      <x:c r="F156" s="4"/>
      <x:c r="G156" s="4"/>
      <x:c r="H156" s="4"/>
    </x:row>
    <x:row r="157">
      <x:c r="A157" s="4"/>
      <x:c r="B157" s="4"/>
      <x:c r="C157" s="4"/>
      <x:c r="D157" s="4"/>
      <x:c r="E157" s="4"/>
      <x:c r="F157" s="4"/>
      <x:c r="G157" s="4"/>
      <x:c r="H157" s="4"/>
    </x:row>
    <x:row r="158">
      <x:c r="A158" s="4"/>
      <x:c r="B158" s="4"/>
      <x:c r="C158" s="4"/>
      <x:c r="D158" s="4"/>
      <x:c r="E158" s="4"/>
      <x:c r="F158" s="4"/>
      <x:c r="G158" s="4"/>
      <x:c r="H158" s="4"/>
    </x:row>
    <x:row r="159">
      <x:c r="A159" s="4"/>
      <x:c r="B159" s="4"/>
      <x:c r="C159" s="4"/>
      <x:c r="D159" s="4"/>
      <x:c r="E159" s="4"/>
      <x:c r="F159" s="4"/>
      <x:c r="G159" s="4"/>
      <x:c r="H159" s="4"/>
    </x:row>
    <x:row r="160">
      <x:c r="A160" s="4"/>
      <x:c r="B160" s="4"/>
      <x:c r="C160" s="4"/>
      <x:c r="D160" s="4"/>
      <x:c r="E160" s="4"/>
      <x:c r="F160" s="4"/>
      <x:c r="G160" s="4"/>
      <x:c r="H160" s="4"/>
    </x:row>
    <x:row r="161">
      <x:c r="A161" s="4"/>
      <x:c r="B161" s="4"/>
      <x:c r="C161" s="4"/>
      <x:c r="D161" s="4"/>
      <x:c r="E161" s="4"/>
      <x:c r="F161" s="4"/>
      <x:c r="G161" s="4"/>
      <x:c r="H161" s="4"/>
    </x:row>
    <x:row r="162">
      <x:c r="A162" s="4"/>
      <x:c r="B162" s="4"/>
      <x:c r="C162" s="4"/>
      <x:c r="D162" s="4"/>
      <x:c r="E162" s="4"/>
      <x:c r="F162" s="4"/>
      <x:c r="G162" s="4"/>
      <x:c r="H162" s="4"/>
    </x:row>
    <x:row r="163">
      <x:c r="A163" s="4"/>
      <x:c r="B163" s="4"/>
      <x:c r="C163" s="4"/>
      <x:c r="D163" s="4"/>
      <x:c r="E163" s="4"/>
      <x:c r="F163" s="4"/>
      <x:c r="G163" s="4"/>
      <x:c r="H163" s="4"/>
    </x:row>
    <x:row r="164">
      <x:c r="A164" s="4"/>
      <x:c r="B164" s="4"/>
      <x:c r="C164" s="4"/>
      <x:c r="D164" s="4"/>
      <x:c r="E164" s="4"/>
      <x:c r="F164" s="4"/>
      <x:c r="G164" s="4"/>
      <x:c r="H164" s="4"/>
    </x:row>
    <x:row r="165">
      <x:c r="A165" s="4"/>
      <x:c r="B165" s="4"/>
      <x:c r="C165" s="4"/>
      <x:c r="D165" s="4"/>
      <x:c r="E165" s="4"/>
      <x:c r="F165" s="4"/>
      <x:c r="G165" s="4"/>
      <x:c r="H165" s="4"/>
    </x:row>
    <x:row r="166">
      <x:c r="A166" s="4"/>
      <x:c r="B166" s="4"/>
      <x:c r="C166" s="4"/>
      <x:c r="D166" s="4"/>
      <x:c r="E166" s="4"/>
      <x:c r="F166" s="4"/>
      <x:c r="G166" s="4"/>
      <x:c r="H166" s="4"/>
    </x:row>
    <x:row r="167">
      <x:c r="A167" s="4"/>
      <x:c r="B167" s="4"/>
      <x:c r="C167" s="4"/>
      <x:c r="D167" s="4"/>
      <x:c r="E167" s="4"/>
      <x:c r="F167" s="4"/>
      <x:c r="G167" s="4"/>
      <x:c r="H167" s="4"/>
    </x:row>
    <x:row r="168">
      <x:c r="A168" s="4"/>
      <x:c r="B168" s="4"/>
      <x:c r="C168" s="4"/>
      <x:c r="D168" s="4"/>
      <x:c r="E168" s="4"/>
      <x:c r="F168" s="4"/>
      <x:c r="G168" s="4"/>
      <x:c r="H168" s="4"/>
    </x:row>
    <x:row r="169">
      <x:c r="A169" s="4"/>
      <x:c r="B169" s="4"/>
      <x:c r="C169" s="4"/>
      <x:c r="D169" s="4"/>
      <x:c r="E169" s="4"/>
      <x:c r="F169" s="4"/>
      <x:c r="G169" s="4"/>
      <x:c r="H169" s="4"/>
    </x:row>
    <x:row r="170">
      <x:c r="A170" s="4"/>
      <x:c r="B170" s="4"/>
      <x:c r="C170" s="4"/>
      <x:c r="D170" s="4"/>
      <x:c r="E170" s="4"/>
      <x:c r="F170" s="4"/>
      <x:c r="G170" s="4"/>
      <x:c r="H170" s="4"/>
    </x:row>
    <x:row r="171">
      <x:c r="A171" s="4"/>
      <x:c r="B171" s="4"/>
      <x:c r="C171" s="4"/>
      <x:c r="D171" s="4"/>
      <x:c r="E171" s="4"/>
      <x:c r="F171" s="4"/>
      <x:c r="G171" s="4"/>
      <x:c r="H171" s="4"/>
    </x:row>
    <x:row r="172">
      <x:c r="A172" s="4"/>
      <x:c r="B172" s="4"/>
      <x:c r="C172" s="4"/>
      <x:c r="D172" s="4"/>
      <x:c r="E172" s="4"/>
      <x:c r="F172" s="4"/>
      <x:c r="G172" s="4"/>
      <x:c r="H172" s="4"/>
    </x:row>
    <x:row r="173">
      <x:c r="A173" s="4"/>
      <x:c r="B173" s="4"/>
      <x:c r="C173" s="4"/>
      <x:c r="D173" s="4"/>
      <x:c r="E173" s="4"/>
      <x:c r="F173" s="4"/>
      <x:c r="G173" s="4"/>
      <x:c r="H173" s="4"/>
    </x:row>
    <x:row r="174">
      <x:c r="A174" s="4"/>
      <x:c r="B174" s="4"/>
      <x:c r="C174" s="4"/>
      <x:c r="D174" s="4"/>
      <x:c r="E174" s="4"/>
      <x:c r="F174" s="4"/>
      <x:c r="G174" s="4"/>
      <x:c r="H174" s="4"/>
    </x:row>
    <x:row r="175">
      <x:c r="A175" s="4"/>
      <x:c r="B175" s="4"/>
      <x:c r="C175" s="4"/>
      <x:c r="D175" s="4"/>
      <x:c r="E175" s="4"/>
      <x:c r="F175" s="4"/>
      <x:c r="G175" s="4"/>
      <x:c r="H175" s="4"/>
    </x:row>
    <x:row r="176">
      <x:c r="A176" s="4"/>
      <x:c r="B176" s="4"/>
      <x:c r="C176" s="4"/>
      <x:c r="D176" s="4"/>
      <x:c r="E176" s="4"/>
      <x:c r="F176" s="4"/>
      <x:c r="G176" s="4"/>
      <x:c r="H176" s="4"/>
    </x:row>
    <x:row r="177">
      <x:c r="A177" s="4"/>
      <x:c r="B177" s="4"/>
      <x:c r="C177" s="4"/>
      <x:c r="D177" s="4"/>
      <x:c r="E177" s="4"/>
      <x:c r="F177" s="4"/>
      <x:c r="G177" s="4"/>
      <x:c r="H177" s="4"/>
    </x:row>
    <x:row r="178">
      <x:c r="A178" s="4"/>
      <x:c r="B178" s="4"/>
      <x:c r="C178" s="4"/>
      <x:c r="D178" s="4"/>
      <x:c r="E178" s="4"/>
      <x:c r="F178" s="4"/>
      <x:c r="G178" s="4"/>
      <x:c r="H178" s="4"/>
    </x:row>
    <x:row r="179">
      <x:c r="A179" s="4"/>
      <x:c r="B179" s="4"/>
      <x:c r="C179" s="4"/>
      <x:c r="D179" s="4"/>
      <x:c r="E179" s="4"/>
      <x:c r="F179" s="4"/>
      <x:c r="G179" s="4"/>
      <x:c r="H179" s="4"/>
    </x:row>
    <x:row r="180">
      <x:c r="A180" s="4"/>
      <x:c r="B180" s="4"/>
      <x:c r="C180" s="4"/>
      <x:c r="D180" s="4"/>
      <x:c r="E180" s="4"/>
      <x:c r="F180" s="4"/>
      <x:c r="G180" s="4"/>
      <x:c r="H180" s="4"/>
    </x:row>
    <x:row r="181">
      <x:c r="A181" s="4"/>
      <x:c r="B181" s="4"/>
      <x:c r="C181" s="4"/>
      <x:c r="D181" s="4"/>
      <x:c r="E181" s="4"/>
      <x:c r="F181" s="4"/>
      <x:c r="G181" s="4"/>
      <x:c r="H181" s="4"/>
    </x:row>
    <x:row r="182">
      <x:c r="A182" s="4"/>
      <x:c r="B182" s="4"/>
      <x:c r="C182" s="4"/>
      <x:c r="D182" s="4"/>
      <x:c r="E182" s="4"/>
      <x:c r="F182" s="4"/>
      <x:c r="G182" s="4"/>
      <x:c r="H182" s="4"/>
    </x:row>
    <x:row r="183">
      <x:c r="A183" s="4"/>
      <x:c r="B183" s="4"/>
      <x:c r="C183" s="4"/>
      <x:c r="D183" s="4"/>
      <x:c r="E183" s="4"/>
      <x:c r="F183" s="4"/>
      <x:c r="G183" s="4"/>
      <x:c r="H183" s="4"/>
    </x:row>
    <x:row r="184">
      <x:c r="A184" s="4"/>
      <x:c r="B184" s="4"/>
      <x:c r="C184" s="4"/>
      <x:c r="D184" s="4"/>
      <x:c r="E184" s="4"/>
      <x:c r="F184" s="4"/>
      <x:c r="G184" s="4"/>
      <x:c r="H184" s="4"/>
    </x:row>
    <x:row r="185">
      <x:c r="A185" s="4"/>
      <x:c r="B185" s="4"/>
      <x:c r="C185" s="4"/>
      <x:c r="D185" s="4"/>
      <x:c r="E185" s="4"/>
      <x:c r="F185" s="4"/>
      <x:c r="G185" s="4"/>
      <x:c r="H185" s="4"/>
    </x:row>
    <x:row r="186">
      <x:c r="A186" s="4"/>
      <x:c r="B186" s="4"/>
      <x:c r="C186" s="4"/>
      <x:c r="D186" s="4"/>
      <x:c r="E186" s="4"/>
      <x:c r="F186" s="4"/>
      <x:c r="G186" s="4"/>
      <x:c r="H186" s="4"/>
    </x:row>
    <x:row r="187">
      <x:c r="A187" s="4"/>
      <x:c r="B187" s="4"/>
      <x:c r="C187" s="4"/>
      <x:c r="D187" s="4"/>
      <x:c r="E187" s="4"/>
      <x:c r="F187" s="4"/>
      <x:c r="G187" s="4"/>
      <x:c r="H187" s="4"/>
    </x:row>
    <x:row r="188">
      <x:c r="A188" s="4"/>
      <x:c r="B188" s="4"/>
      <x:c r="C188" s="4"/>
      <x:c r="D188" s="4"/>
      <x:c r="E188" s="4"/>
      <x:c r="F188" s="4"/>
      <x:c r="G188" s="4"/>
      <x:c r="H188" s="4"/>
    </x:row>
    <x:row r="189">
      <x:c r="A189" s="4"/>
      <x:c r="B189" s="4"/>
      <x:c r="C189" s="4"/>
      <x:c r="D189" s="4"/>
      <x:c r="E189" s="4"/>
      <x:c r="F189" s="4"/>
      <x:c r="G189" s="4"/>
      <x:c r="H189" s="4"/>
    </x:row>
    <x:row r="190">
      <x:c r="A190" s="4"/>
      <x:c r="B190" s="4"/>
      <x:c r="C190" s="4"/>
      <x:c r="D190" s="4"/>
      <x:c r="E190" s="4"/>
      <x:c r="F190" s="4"/>
      <x:c r="G190" s="4"/>
      <x:c r="H190" s="4"/>
    </x:row>
    <x:row r="191">
      <x:c r="A191" s="4"/>
      <x:c r="B191" s="4"/>
      <x:c r="C191" s="4"/>
      <x:c r="D191" s="4"/>
      <x:c r="E191" s="4"/>
      <x:c r="F191" s="4"/>
      <x:c r="G191" s="4"/>
      <x:c r="H191" s="4"/>
    </x:row>
    <x:row r="192">
      <x:c r="A192" s="4"/>
      <x:c r="B192" s="4"/>
      <x:c r="C192" s="4"/>
      <x:c r="D192" s="4"/>
      <x:c r="E192" s="4"/>
      <x:c r="F192" s="4"/>
      <x:c r="G192" s="4"/>
      <x:c r="H192" s="4"/>
    </x:row>
    <x:row r="193">
      <x:c r="A193" s="4"/>
      <x:c r="B193" s="4"/>
      <x:c r="C193" s="4"/>
      <x:c r="D193" s="4"/>
      <x:c r="E193" s="4"/>
      <x:c r="F193" s="4"/>
      <x:c r="G193" s="4"/>
      <x:c r="H193" s="4"/>
    </x:row>
    <x:row r="194">
      <x:c r="A194" s="4"/>
      <x:c r="B194" s="4"/>
      <x:c r="C194" s="4"/>
      <x:c r="D194" s="4"/>
      <x:c r="E194" s="4"/>
      <x:c r="F194" s="4"/>
      <x:c r="G194" s="4"/>
      <x:c r="H194" s="4"/>
    </x:row>
    <x:row r="195">
      <x:c r="A195" s="4"/>
      <x:c r="B195" s="4"/>
      <x:c r="C195" s="4"/>
      <x:c r="D195" s="4"/>
      <x:c r="E195" s="4"/>
      <x:c r="F195" s="4"/>
      <x:c r="G195" s="4"/>
      <x:c r="H195" s="4"/>
    </x:row>
    <x:row r="196">
      <x:c r="A196" s="4"/>
      <x:c r="B196" s="4"/>
      <x:c r="C196" s="4"/>
      <x:c r="D196" s="4"/>
      <x:c r="E196" s="4"/>
      <x:c r="F196" s="4"/>
      <x:c r="G196" s="4"/>
      <x:c r="H196" s="4"/>
    </x:row>
    <x:row r="197">
      <x:c r="A197" s="4"/>
      <x:c r="B197" s="4"/>
      <x:c r="C197" s="4"/>
      <x:c r="D197" s="4"/>
      <x:c r="E197" s="4"/>
      <x:c r="F197" s="4"/>
      <x:c r="G197" s="4"/>
      <x:c r="H197" s="4"/>
    </x:row>
    <x:row r="198">
      <x:c r="A198" s="4"/>
      <x:c r="B198" s="4"/>
      <x:c r="C198" s="4"/>
      <x:c r="D198" s="4"/>
      <x:c r="E198" s="4"/>
      <x:c r="F198" s="4"/>
      <x:c r="G198" s="4"/>
      <x:c r="H198" s="4"/>
    </x:row>
    <x:row r="199">
      <x:c r="A199" s="4"/>
      <x:c r="B199" s="4"/>
      <x:c r="C199" s="4"/>
      <x:c r="D199" s="4"/>
      <x:c r="E199" s="4"/>
      <x:c r="F199" s="4"/>
      <x:c r="G199" s="4"/>
      <x:c r="H199" s="4"/>
    </x:row>
    <x:row r="200">
      <x:c r="A200" s="4"/>
      <x:c r="B200" s="4"/>
      <x:c r="C200" s="4"/>
      <x:c r="D200" s="4"/>
      <x:c r="E200" s="4"/>
      <x:c r="F200" s="4"/>
      <x:c r="G200" s="4"/>
      <x:c r="H200" s="4"/>
    </x:row>
  </x:sheetData>
  <x:mergeCells>
    <x:mergeCell ref="A2:H2"/>
  </x:mergeCells>
  <x:pageMargins left="0.7" right="0.7" top="0.75" bottom="0.75" header="0.3" footer="0.3"/>
</x:worksheet>
</file>