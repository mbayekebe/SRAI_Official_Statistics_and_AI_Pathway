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fda5fc30a545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bd93e6074fd493f"/>
    <x:sheet xmlns:r="http://schemas.openxmlformats.org/officeDocument/2006/relationships" name="Assessment Input" sheetId="2" r:id="R4530583a1e6e43ce"/>
    <x:sheet xmlns:r="http://schemas.openxmlformats.org/officeDocument/2006/relationships" name="Readiness Gates" sheetId="3" r:id="R76fe53c868b24719"/>
    <x:sheet xmlns:r="http://schemas.openxmlformats.org/officeDocument/2006/relationships" name="Action Plan" sheetId="4" r:id="R5199f4bd5ea04cdd"/>
    <x:sheet xmlns:r="http://schemas.openxmlformats.org/officeDocument/2006/relationships" name="Guidance" sheetId="5" r:id="R47075499da2647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yy"/>
  </x:numFmts>
  <x:fonts count="8">
    <x:font>
      <x:sz val="11"/>
      <x:name val="Carlito"/>
    </x:font>
    <x:font>
      <x:sz val="10"/>
      <x:color rgb="FF000000"/>
      <x:name val="Arial"/>
    </x:font>
    <x:font>
      <x:b/>
      <x:sz val="16"/>
      <x:color rgb="FF000000"/>
      <x:name val="Arial"/>
    </x:font>
    <x:font>
      <x:i/>
      <x:sz val="10"/>
      <x:color rgb="FF5A6570"/>
      <x:name val="Arial"/>
    </x:font>
    <x:font>
      <x:b/>
      <x:sz val="10"/>
      <x:color rgb="FF0F6B69"/>
      <x:name val="Arial"/>
    </x:font>
    <x:font>
      <x:b/>
      <x:sz val="10"/>
      <x:color rgb="FFFFFFFF"/>
      <x:name val="Arial"/>
    </x:font>
    <x:font>
      <x:b/>
      <x:sz val="10"/>
      <x:color rgb="FF18324A"/>
      <x:name val="Arial"/>
    </x:font>
    <x:font>
      <x:b/>
      <x:sz val="12"/>
      <x:color rgb="FF18324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8324A"/>
      </x:patternFill>
    </x:fill>
    <x:fill>
      <x:patternFill patternType="solid">
        <x:fgColor rgb="FFF4F6F7"/>
      </x:patternFill>
    </x:fill>
  </x:fills>
  <x:borders count="2">
    <x:border/>
    <x:border>
      <x:bottom style="thin">
        <x:color rgb="FFD9D9D9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0"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06eb4c736c4957" /><Relationship Type="http://schemas.openxmlformats.org/officeDocument/2006/relationships/theme" Target="/xl/theme/theme1.xml" Id="Ra3fbd31bd6d7417a" /><Relationship Type="http://schemas.openxmlformats.org/officeDocument/2006/relationships/sharedStrings" Target="/xl/sharedStrings.xml" Id="Rd2b98434fc70444b" /><Relationship Type="http://schemas.openxmlformats.org/officeDocument/2006/relationships/worksheet" Target="/xl/worksheets/sheet1.xml" Id="R6bd93e6074fd493f" /><Relationship Type="http://schemas.openxmlformats.org/officeDocument/2006/relationships/worksheet" Target="/xl/worksheets/sheet2.xml" Id="R4530583a1e6e43ce" /><Relationship Type="http://schemas.openxmlformats.org/officeDocument/2006/relationships/worksheet" Target="/xl/worksheets/sheet3.xml" Id="R76fe53c868b24719" /><Relationship Type="http://schemas.openxmlformats.org/officeDocument/2006/relationships/worksheet" Target="/xl/worksheets/sheet4.xml" Id="R5199f4bd5ea04cdd" /><Relationship Type="http://schemas.openxmlformats.org/officeDocument/2006/relationships/worksheet" Target="/xl/worksheets/sheet5.xml" Id="R47075499da2647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8324A"/>
  </x:sheetPr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13" hidden="0" customWidth="1"/>
    <x:col min="4" max="4" width="13" hidden="0" customWidth="1"/>
    <x:col min="5" max="5" width="10" hidden="0" customWidth="1"/>
    <x:col min="6" max="6" width="18" hidden="0" customWidth="1"/>
    <x:col min="7" max="7" width="3" hidden="0" customWidth="1"/>
    <x:col min="8" max="8" width="26" hidden="0" customWidth="1"/>
    <x:col min="9" max="9" width="12" hidden="0" customWidth="1"/>
    <x:col min="10" max="10" width="3" hidden="0" customWidth="1"/>
    <x:col min="11" max="11" width="3" hidden="0" customWidth="1"/>
    <x:col min="12" max="12" width="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8" customHeight="1">
      <x:c r="A2" s="3" t="str">
        <x:v>National Information Ecosystem and AI Readiness Dashboard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4" t="str">
        <x:v>Dimension profile, evidence confidence, readiness gates and implementation priorities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5" t="str">
        <x:v>Country or territory</x:v>
      </x:c>
      <x:c r="B5" s="2" t="str">
        <x:f>IF('Assessment Input'!B5="","",'Assessment Input'!B5)</x:f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5" t="str">
        <x:v>Assessment unit</x:v>
      </x:c>
      <x:c r="B6" s="2" t="str">
        <x:f>IF('Assessment Input'!B6="","",'Assessment Input'!B6)</x:f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5" t="str">
        <x:v>Organization or workflow</x:v>
      </x:c>
      <x:c r="B7" s="2" t="str">
        <x:f>IF('Assessment Input'!B7="","",'Assessment Input'!B7)</x:f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5" t="str">
        <x:v>Sector or domain</x:v>
      </x:c>
      <x:c r="B8" s="2" t="str">
        <x:f>IF('Assessment Input'!B8="","",'Assessment Input'!B8)</x:f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5" t="str">
        <x:v>Reference period</x:v>
      </x:c>
      <x:c r="B9" s="2" t="str">
        <x:f>IF('Assessment Input'!B9="","",'Assessment Input'!B9)</x:f>
      </x:c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22" customHeight="1">
      <x:c r="A11" s="8" t="str">
        <x:v>Readiness decision</x:v>
      </x:c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5" t="str">
        <x:v>Overall gate status</x:v>
      </x:c>
      <x:c r="B13" s="22" t="str">
        <x:f>'Readiness Gates'!B20</x:f>
        <x:v>INCOMPLETE</x:v>
      </x:c>
      <x:c r="C13" s="22"/>
      <x:c r="D13" s="22"/>
      <x:c r="E13" s="22"/>
      <x:c r="F13" s="2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5" t="str">
        <x:v>Failed gates</x:v>
      </x:c>
      <x:c r="B14" s="2" t="n">
        <x:f>'Readiness Gates'!B17</x:f>
        <x:v>0</x:v>
      </x:c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5" t="str">
        <x:v>Conditional gates</x:v>
      </x:c>
      <x:c r="B15" s="2" t="n">
        <x:f>'Readiness Gates'!B18</x:f>
        <x:v>0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5" t="str">
        <x:v>Assessment completeness</x:v>
      </x:c>
      <x:c r="B16" s="2" t="str">
        <x:f>COUNT('Assessment Input'!E13:E60)&amp;" of 48 questions scored"</x:f>
        <x:v>0 of 48 questions scored</x:v>
      </x:c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22" customHeight="1">
      <x:c r="A18" s="8" t="str">
        <x:v>Maturity profile and target gaps</x:v>
      </x:c>
      <x:c r="B18" s="8"/>
      <x:c r="C18" s="8"/>
      <x:c r="D18" s="8"/>
      <x:c r="E18" s="8"/>
      <x:c r="F18" s="8"/>
      <x:c r="G18" s="8"/>
      <x:c r="H18" s="8" t="str">
        <x:v>Action portfolio</x:v>
      </x:c>
      <x:c r="I18" s="8"/>
      <x:c r="J18" s="8"/>
      <x:c r="K18" s="8"/>
      <x:c r="L18" s="8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30" customHeight="1">
      <x:c r="A20" s="10" t="str">
        <x:v>Dimension</x:v>
      </x:c>
      <x:c r="B20" s="10" t="str">
        <x:v>Capability</x:v>
      </x:c>
      <x:c r="C20" s="10" t="str">
        <x:v>Current level</x:v>
      </x:c>
      <x:c r="D20" s="10" t="str">
        <x:v>Target level</x:v>
      </x:c>
      <x:c r="E20" s="10" t="str">
        <x:v>Gap</x:v>
      </x:c>
      <x:c r="F20" s="10" t="str">
        <x:v>Evidence confidence</x:v>
      </x:c>
      <x:c r="G20" s="2"/>
      <x:c r="H20" s="10" t="str">
        <x:v>Measure</x:v>
      </x:c>
      <x:c r="I20" s="10" t="str">
        <x:v>Count</x:v>
      </x:c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12" t="str">
        <x:v>1</x:v>
      </x:c>
      <x:c r="B21" s="12" t="str">
        <x:v>Mandate leadership and strategy</x:v>
      </x:c>
      <x:c r="C21" s="24" t="str">
        <x:f>IF(COUNT('Assessment Input'!E13:E16)=4,ROUNDDOWN(AVERAGE('Assessment Input'!E13:E16),0),"")</x:f>
      </x:c>
      <x:c r="D21" s="24" t="str">
        <x:f>IF(COUNT('Assessment Input'!G13:G16)=4,ROUND(AVERAGE('Assessment Input'!G13:G16),0),"")</x:f>
      </x:c>
      <x:c r="E21" s="24" t="str">
        <x:f>IF(OR(C21="",D21=""),"",MAX(0,D21-C21))</x:f>
      </x:c>
      <x:c r="F21" s="24" t="str">
        <x:f>IF(COUNTA('Assessment Input'!F13:F16)&lt;4,"Incomplete",IF(COUNTIF('Assessment Input'!F13:F16,"C Low")&gt;0,"C Low",IF(COUNTIF('Assessment Input'!F13:F16,"B Moderate")&gt;0,"B Moderate","A High")))</x:f>
        <x:v>A High</x:v>
      </x:c>
      <x:c r="G21" s="2"/>
      <x:c r="H21" s="2" t="str">
        <x:v>P1 Safeguard</x:v>
      </x:c>
      <x:c r="I21" s="2" t="n">
        <x:f>COUNTIF('Action Plan'!A6:A25,"P1 Safeguard")</x:f>
        <x:v>0</x:v>
      </x:c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12" t="str">
        <x:v>2</x:v>
      </x:c>
      <x:c r="B22" s="12" t="str">
        <x:v>NSS coordination and ecosystem governance</x:v>
      </x:c>
      <x:c r="C22" s="24" t="str">
        <x:f>IF(COUNT('Assessment Input'!E17:E20)=4,ROUNDDOWN(AVERAGE('Assessment Input'!E17:E20),0),"")</x:f>
      </x:c>
      <x:c r="D22" s="24" t="str">
        <x:f>IF(COUNT('Assessment Input'!G17:G20)=4,ROUND(AVERAGE('Assessment Input'!G17:G20),0),"")</x:f>
      </x:c>
      <x:c r="E22" s="24" t="str">
        <x:f>IF(OR(C22="",D22=""),"",MAX(0,D22-C22))</x:f>
      </x:c>
      <x:c r="F22" s="24" t="str">
        <x:f>IF(COUNTA('Assessment Input'!F17:F20)&lt;4,"Incomplete",IF(COUNTIF('Assessment Input'!F17:F20,"C Low")&gt;0,"C Low",IF(COUNTIF('Assessment Input'!F17:F20,"B Moderate")&gt;0,"B Moderate","A High")))</x:f>
        <x:v>A High</x:v>
      </x:c>
      <x:c r="G22" s="2"/>
      <x:c r="H22" s="2" t="str">
        <x:v>P2 Foundational</x:v>
      </x:c>
      <x:c r="I22" s="2" t="n">
        <x:f>COUNTIF('Action Plan'!A6:A25,"P2 Foundational")</x:f>
        <x:v>0</x:v>
      </x:c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12" t="str">
        <x:v>3</x:v>
      </x:c>
      <x:c r="B23" s="12" t="str">
        <x:v>Law ethics and accountability</x:v>
      </x:c>
      <x:c r="C23" s="24" t="str">
        <x:f>IF(COUNT('Assessment Input'!E21:E24)=4,ROUNDDOWN(AVERAGE('Assessment Input'!E21:E24),0),"")</x:f>
      </x:c>
      <x:c r="D23" s="24" t="str">
        <x:f>IF(COUNT('Assessment Input'!G21:G24)=4,ROUND(AVERAGE('Assessment Input'!G21:G24),0),"")</x:f>
      </x:c>
      <x:c r="E23" s="24" t="str">
        <x:f>IF(OR(C23="",D23=""),"",MAX(0,D23-C23))</x:f>
      </x:c>
      <x:c r="F23" s="24" t="str">
        <x:f>IF(COUNTA('Assessment Input'!F21:F24)&lt;4,"Incomplete",IF(COUNTIF('Assessment Input'!F21:F24,"C Low")&gt;0,"C Low",IF(COUNTIF('Assessment Input'!F21:F24,"B Moderate")&gt;0,"B Moderate","A High")))</x:f>
        <x:v>A High</x:v>
      </x:c>
      <x:c r="G23" s="2"/>
      <x:c r="H23" s="2" t="str">
        <x:v>P3 Operational</x:v>
      </x:c>
      <x:c r="I23" s="2" t="n">
        <x:f>COUNTIF('Action Plan'!A6:A25,"P3 Operational")</x:f>
        <x:v>0</x:v>
      </x:c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12" t="str">
        <x:v>4</x:v>
      </x:c>
      <x:c r="B24" s="12" t="str">
        <x:v>Data governance access and confidentiality</x:v>
      </x:c>
      <x:c r="C24" s="24" t="str">
        <x:f>IF(COUNT('Assessment Input'!E25:E28)=4,ROUNDDOWN(AVERAGE('Assessment Input'!E25:E28),0),"")</x:f>
      </x:c>
      <x:c r="D24" s="24" t="str">
        <x:f>IF(COUNT('Assessment Input'!G25:G28)=4,ROUND(AVERAGE('Assessment Input'!G25:G28),0),"")</x:f>
      </x:c>
      <x:c r="E24" s="24" t="str">
        <x:f>IF(OR(C24="",D24=""),"",MAX(0,D24-C24))</x:f>
      </x:c>
      <x:c r="F24" s="24" t="str">
        <x:f>IF(COUNTA('Assessment Input'!F25:F28)&lt;4,"Incomplete",IF(COUNTIF('Assessment Input'!F25:F28,"C Low")&gt;0,"C Low",IF(COUNTIF('Assessment Input'!F25:F28,"B Moderate")&gt;0,"B Moderate","A High")))</x:f>
        <x:v>A High</x:v>
      </x:c>
      <x:c r="G24" s="2"/>
      <x:c r="H24" s="2" t="str">
        <x:v>P4 Developmental</x:v>
      </x:c>
      <x:c r="I24" s="2" t="n">
        <x:f>COUNTIF('Action Plan'!A6:A25,"P4 Developmental")</x:f>
        <x:v>0</x:v>
      </x:c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12" t="str">
        <x:v>5</x:v>
      </x:c>
      <x:c r="B25" s="12" t="str">
        <x:v>Statistical methods quality and fitness for use</x:v>
      </x:c>
      <x:c r="C25" s="24" t="str">
        <x:f>IF(COUNT('Assessment Input'!E29:E32)=4,ROUNDDOWN(AVERAGE('Assessment Input'!E29:E32),0),"")</x:f>
      </x:c>
      <x:c r="D25" s="24" t="str">
        <x:f>IF(COUNT('Assessment Input'!G29:G32)=4,ROUND(AVERAGE('Assessment Input'!G29:G32),0),"")</x:f>
      </x:c>
      <x:c r="E25" s="24" t="str">
        <x:f>IF(OR(C25="",D25=""),"",MAX(0,D25-C25))</x:f>
      </x:c>
      <x:c r="F25" s="24" t="str">
        <x:f>IF(COUNTA('Assessment Input'!F29:F32)&lt;4,"Incomplete",IF(COUNTIF('Assessment Input'!F29:F32,"C Low")&gt;0,"C Low",IF(COUNTIF('Assessment Input'!F29:F32,"B Moderate")&gt;0,"B Moderate","A High")))</x:f>
        <x:v>A High</x:v>
      </x:c>
      <x:c r="G25" s="2"/>
      <x:c r="H25" s="23" t="str">
        <x:v>Completed</x:v>
      </x:c>
      <x:c r="I25" s="23" t="n">
        <x:f>COUNTIF('Action Plan'!H6:H25,"Completed")</x:f>
        <x:v>0</x:v>
      </x:c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12" t="str">
        <x:v>6</x:v>
      </x:c>
      <x:c r="B26" s="12" t="str">
        <x:v>Human resources competencies and culture</x:v>
      </x:c>
      <x:c r="C26" s="24" t="str">
        <x:f>IF(COUNT('Assessment Input'!E33:E36)=4,ROUNDDOWN(AVERAGE('Assessment Input'!E33:E36),0),"")</x:f>
      </x:c>
      <x:c r="D26" s="24" t="str">
        <x:f>IF(COUNT('Assessment Input'!G33:G36)=4,ROUND(AVERAGE('Assessment Input'!G33:G36),0),"")</x:f>
      </x:c>
      <x:c r="E26" s="24" t="str">
        <x:f>IF(OR(C26="",D26=""),"",MAX(0,D26-C26))</x:f>
      </x:c>
      <x:c r="F26" s="24" t="str">
        <x:f>IF(COUNTA('Assessment Input'!F33:F36)&lt;4,"Incomplete",IF(COUNTIF('Assessment Input'!F33:F36,"C Low")&gt;0,"C Low",IF(COUNTIF('Assessment Input'!F33:F36,"B Moderate")&gt;0,"B Moderate","A High")))</x:f>
        <x:v>A High</x:v>
      </x:c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12" t="str">
        <x:v>7</x:v>
      </x:c>
      <x:c r="B27" s="12" t="str">
        <x:v>Technology architecture and security</x:v>
      </x:c>
      <x:c r="C27" s="24" t="str">
        <x:f>IF(COUNT('Assessment Input'!E37:E40)=4,ROUNDDOWN(AVERAGE('Assessment Input'!E37:E40),0),"")</x:f>
      </x:c>
      <x:c r="D27" s="24" t="str">
        <x:f>IF(COUNT('Assessment Input'!G37:G40)=4,ROUND(AVERAGE('Assessment Input'!G37:G40),0),"")</x:f>
      </x:c>
      <x:c r="E27" s="24" t="str">
        <x:f>IF(OR(C27="",D27=""),"",MAX(0,D27-C27))</x:f>
      </x:c>
      <x:c r="F27" s="24" t="str">
        <x:f>IF(COUNTA('Assessment Input'!F37:F40)&lt;4,"Incomplete",IF(COUNTIF('Assessment Input'!F37:F40,"C Low")&gt;0,"C Low",IF(COUNTIF('Assessment Input'!F37:F40,"B Moderate")&gt;0,"B Moderate","A High")))</x:f>
        <x:v>A High</x:v>
      </x:c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12" t="str">
        <x:v>8</x:v>
      </x:c>
      <x:c r="B28" s="12" t="str">
        <x:v>Production processes and reproducibility</x:v>
      </x:c>
      <x:c r="C28" s="24" t="str">
        <x:f>IF(COUNT('Assessment Input'!E41:E44)=4,ROUNDDOWN(AVERAGE('Assessment Input'!E41:E44),0),"")</x:f>
      </x:c>
      <x:c r="D28" s="24" t="str">
        <x:f>IF(COUNT('Assessment Input'!G41:G44)=4,ROUND(AVERAGE('Assessment Input'!G41:G44),0),"")</x:f>
      </x:c>
      <x:c r="E28" s="24" t="str">
        <x:f>IF(OR(C28="",D28=""),"",MAX(0,D28-C28))</x:f>
      </x:c>
      <x:c r="F28" s="24" t="str">
        <x:f>IF(COUNTA('Assessment Input'!F41:F44)&lt;4,"Incomplete",IF(COUNTIF('Assessment Input'!F41:F44,"C Low")&gt;0,"C Low",IF(COUNTIF('Assessment Input'!F41:F44,"B Moderate")&gt;0,"B Moderate","A High")))</x:f>
        <x:v>A High</x:v>
      </x:c>
      <x:c r="G28" s="2"/>
      <x:c r="H28" s="5" t="str">
        <x:v>Management interpretation</x:v>
      </x:c>
      <x:c r="I28" s="5"/>
      <x:c r="J28" s="5"/>
      <x:c r="K28" s="5"/>
      <x:c r="L28" s="5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12" t="str">
        <x:v>9</x:v>
      </x:c>
      <x:c r="B29" s="12" t="str">
        <x:v>AI use cases models and portfolio</x:v>
      </x:c>
      <x:c r="C29" s="24" t="str">
        <x:f>IF(COUNT('Assessment Input'!E45:E48)=4,ROUNDDOWN(AVERAGE('Assessment Input'!E45:E48),0),"")</x:f>
      </x:c>
      <x:c r="D29" s="24" t="str">
        <x:f>IF(COUNT('Assessment Input'!G45:G48)=4,ROUND(AVERAGE('Assessment Input'!G45:G48),0),"")</x:f>
      </x:c>
      <x:c r="E29" s="24" t="str">
        <x:f>IF(OR(C29="",D29=""),"",MAX(0,D29-C29))</x:f>
      </x:c>
      <x:c r="F29" s="24" t="str">
        <x:f>IF(COUNTA('Assessment Input'!F45:F48)&lt;4,"Incomplete",IF(COUNTIF('Assessment Input'!F45:F48,"C Low")&gt;0,"C Low",IF(COUNTIF('Assessment Input'!F45:F48,"B Moderate")&gt;0,"B Moderate","A High")))</x:f>
        <x:v>A High</x:v>
      </x:c>
      <x:c r="G29" s="2"/>
      <x:c r="H29" s="27" t="str">
        <x:v>Use the profile rather than an overall average. A low score and low evidence confidence require different responses. Any failed readiness gate blocks the affected operational use until corrected. Targets should reflect risk, national priorities and available resources.</x:v>
      </x:c>
      <x:c r="I29" s="27"/>
      <x:c r="J29" s="27"/>
      <x:c r="K29" s="27"/>
      <x:c r="L29" s="27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12" t="str">
        <x:v>10</x:v>
      </x:c>
      <x:c r="B30" s="12" t="str">
        <x:v>Finance procurement and sustainability</x:v>
      </x:c>
      <x:c r="C30" s="24" t="str">
        <x:f>IF(COUNT('Assessment Input'!E49:E52)=4,ROUNDDOWN(AVERAGE('Assessment Input'!E49:E52),0),"")</x:f>
      </x:c>
      <x:c r="D30" s="24" t="str">
        <x:f>IF(COUNT('Assessment Input'!G49:G52)=4,ROUND(AVERAGE('Assessment Input'!G49:G52),0),"")</x:f>
      </x:c>
      <x:c r="E30" s="24" t="str">
        <x:f>IF(OR(C30="",D30=""),"",MAX(0,D30-C30))</x:f>
      </x:c>
      <x:c r="F30" s="24" t="str">
        <x:f>IF(COUNTA('Assessment Input'!F49:F52)&lt;4,"Incomplete",IF(COUNTIF('Assessment Input'!F49:F52,"C Low")&gt;0,"C Low",IF(COUNTIF('Assessment Input'!F49:F52,"B Moderate")&gt;0,"B Moderate","A High")))</x:f>
        <x:v>A High</x:v>
      </x:c>
      <x:c r="G30" s="2"/>
      <x:c r="H30" s="27"/>
      <x:c r="I30" s="27"/>
      <x:c r="J30" s="27"/>
      <x:c r="K30" s="27"/>
      <x:c r="L30" s="27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12" t="str">
        <x:v>11</x:v>
      </x:c>
      <x:c r="B31" s="12" t="str">
        <x:v>Partnerships research and innovation</x:v>
      </x:c>
      <x:c r="C31" s="24" t="str">
        <x:f>IF(COUNT('Assessment Input'!E53:E56)=4,ROUNDDOWN(AVERAGE('Assessment Input'!E53:E56),0),"")</x:f>
      </x:c>
      <x:c r="D31" s="24" t="str">
        <x:f>IF(COUNT('Assessment Input'!G53:G56)=4,ROUND(AVERAGE('Assessment Input'!G53:G56),0),"")</x:f>
      </x:c>
      <x:c r="E31" s="24" t="str">
        <x:f>IF(OR(C31="",D31=""),"",MAX(0,D31-C31))</x:f>
      </x:c>
      <x:c r="F31" s="24" t="str">
        <x:f>IF(COUNTA('Assessment Input'!F53:F56)&lt;4,"Incomplete",IF(COUNTIF('Assessment Input'!F53:F56,"C Low")&gt;0,"C Low",IF(COUNTIF('Assessment Input'!F53:F56,"B Moderate")&gt;0,"B Moderate","A High")))</x:f>
        <x:v>A High</x:v>
      </x:c>
      <x:c r="G31" s="2"/>
      <x:c r="H31" s="27"/>
      <x:c r="I31" s="27"/>
      <x:c r="J31" s="27"/>
      <x:c r="K31" s="27"/>
      <x:c r="L31" s="27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15" t="str">
        <x:v>12</x:v>
      </x:c>
      <x:c r="B32" s="15" t="str">
        <x:v>Users communication and public trust</x:v>
      </x:c>
      <x:c r="C32" s="25" t="str">
        <x:f>IF(COUNT('Assessment Input'!E57:E60)=4,ROUNDDOWN(AVERAGE('Assessment Input'!E57:E60),0),"")</x:f>
      </x:c>
      <x:c r="D32" s="25" t="str">
        <x:f>IF(COUNT('Assessment Input'!G57:G60)=4,ROUND(AVERAGE('Assessment Input'!G57:G60),0),"")</x:f>
      </x:c>
      <x:c r="E32" s="25" t="str">
        <x:f>IF(OR(C32="",D32=""),"",MAX(0,D32-C32))</x:f>
      </x:c>
      <x:c r="F32" s="25" t="str">
        <x:f>IF(COUNTA('Assessment Input'!F57:F60)&lt;4,"Incomplete",IF(COUNTIF('Assessment Input'!F57:F60,"C Low")&gt;0,"C Low",IF(COUNTIF('Assessment Input'!F57:F60,"B Moderate")&gt;0,"B Moderate","A High")))</x:f>
        <x:v>A High</x:v>
      </x:c>
      <x:c r="G32" s="2"/>
      <x:c r="H32" s="27"/>
      <x:c r="I32" s="27"/>
      <x:c r="J32" s="27"/>
      <x:c r="K32" s="27"/>
      <x:c r="L32" s="27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7"/>
      <x:c r="I33" s="27"/>
      <x:c r="J33" s="27"/>
      <x:c r="K33" s="27"/>
      <x:c r="L33" s="27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7"/>
      <x:c r="I34" s="27"/>
      <x:c r="J34" s="27"/>
      <x:c r="K34" s="27"/>
      <x:c r="L34" s="27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A2:L2"/>
    <x:mergeCell ref="A3:L3"/>
    <x:mergeCell ref="A11:L11"/>
    <x:mergeCell ref="B13:F13"/>
    <x:mergeCell ref="A18:L18"/>
    <x:mergeCell ref="H18:L18"/>
    <x:mergeCell ref="H28:L28"/>
    <x:mergeCell ref="H29:L34"/>
  </x:mergeCells>
  <x:conditionalFormatting sqref="C21:D32">
    <x:cfRule type="dataBar" priority="1">
      <x:dataBar>
        <x:cfvo type="min"/>
        <x:cfvo type="max"/>
        <x:color rgb="FF0F6B69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conditionalFormatting sqref="E21:E32">
    <x:cfRule type="cellIs" dxfId="7" priority="2" operator="greaterThan">
      <x:formula>0</x:formula>
    </x:cfRule>
  </x:conditionalFormatting>
  <x:conditionalFormatting sqref="F21:F32">
    <x:cfRule type="containsText" dxfId="8" priority="3" operator="containsText" text="C Low"/>
    <x:cfRule type="containsText" dxfId="9" priority="4" operator="containsText" text="B Moderate"/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0F6B69"/>
            </x14:dataBar>
          </x14:cfRule>
          <xm:sqref>C21:D32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Pr>
    <x:tabColor rgb="FF0F6B69"/>
  </x:sheetPr>
  <x:sheetViews>
    <x:sheetView showGridLines="0" workbookViewId="0">
      <x:pane xSplit="3" ySplit="12" topLeftCell="D13" activePane="bottomRight" state="frozen"/>
    </x:sheetView>
  </x:sheetViews>
  <x:sheetFormatPr defaultRowHeight="15"/>
  <x:cols>
    <x:col min="1" max="1" width="9" hidden="0" customWidth="1"/>
    <x:col min="2" max="2" width="27" hidden="0" customWidth="1"/>
    <x:col min="3" max="3" width="10" hidden="0" customWidth="1"/>
    <x:col min="4" max="4" width="60" hidden="0" customWidth="1"/>
    <x:col min="5" max="5" width="12" hidden="0" customWidth="1"/>
    <x:col min="6" max="6" width="17" hidden="0" customWidth="1"/>
    <x:col min="7" max="7" width="12" hidden="0" customWidth="1"/>
    <x:col min="8" max="8" width="8" hidden="0" customWidth="1"/>
    <x:col min="9" max="9" width="13" hidden="0" customWidth="1"/>
    <x:col min="10" max="10" width="20" hidden="0" customWidth="1"/>
    <x:col min="11" max="11" width="17" hidden="0" customWidth="1"/>
    <x:col min="12" max="12" width="3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8" customHeight="1">
      <x:c r="A2" s="3" t="str">
        <x:v>Assessment Input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4" t="str">
        <x:v>Enter only evidence-supported scores. Blank cells remain incomplete and do not become zero.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5" t="str">
        <x:v>Country or territory</x:v>
      </x:c>
      <x:c r="B5" s="6" t="str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5" t="str">
        <x:v>Assessment unit</x:v>
      </x:c>
      <x:c r="B6" s="6" t="str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5" t="str">
        <x:v>Organization or workflow</x:v>
      </x:c>
      <x:c r="B7" s="6" t="str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5" t="str">
        <x:v>Sector or domain</x:v>
      </x:c>
      <x:c r="B8" s="6" t="str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5" t="str">
        <x:v>Reference period</x:v>
      </x:c>
      <x:c r="B9" s="6" t="str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5" t="str">
        <x:v>Assessment date</x:v>
      </x:c>
      <x:c r="B10" s="6" t="str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30" customHeight="1">
      <x:c r="A12" s="10" t="str">
        <x:v>Dimension</x:v>
      </x:c>
      <x:c r="B12" s="10" t="str">
        <x:v>Dimension name</x:v>
      </x:c>
      <x:c r="C12" s="10" t="str">
        <x:v>Question ID</x:v>
      </x:c>
      <x:c r="D12" s="10" t="str">
        <x:v>Assessment question</x:v>
      </x:c>
      <x:c r="E12" s="10" t="str">
        <x:v>Score 0 to 5</x:v>
      </x:c>
      <x:c r="F12" s="10" t="str">
        <x:v>Evidence confidence</x:v>
      </x:c>
      <x:c r="G12" s="10" t="str">
        <x:v>Target level</x:v>
      </x:c>
      <x:c r="H12" s="10" t="str">
        <x:v>Gap</x:v>
      </x:c>
      <x:c r="I12" s="10" t="str">
        <x:v>Readiness gate</x:v>
      </x:c>
      <x:c r="J12" s="10" t="str">
        <x:v>Evidence reference</x:v>
      </x:c>
      <x:c r="K12" s="10" t="str">
        <x:v>Priority</x:v>
      </x:c>
      <x:c r="L12" s="10" t="str">
        <x:v>Assessor notes</x:v>
      </x:c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24" hidden="0" customHeight="1">
      <x:c r="A13" s="12" t="str">
        <x:v>1</x:v>
      </x:c>
      <x:c r="B13" s="12" t="str">
        <x:v>Mandate leadership and strategy</x:v>
      </x:c>
      <x:c r="C13" s="12" t="str">
        <x:v>1.1</x:v>
      </x:c>
      <x:c r="D13" s="12" t="str">
        <x:v>Has leadership approved a documented position on where AI may and may not be used in official-statistics work?</x:v>
      </x:c>
      <x:c r="E13" s="13" t="str"/>
      <x:c r="F13" s="13" t="str"/>
      <x:c r="G13" s="13" t="str"/>
      <x:c r="H13" s="14" t="str">
        <x:f>IF(OR(E13="",G13=""),"",MAX(0,G13-E13))</x:f>
      </x:c>
      <x:c r="I13" s="12" t="str">
        <x:v>Yes</x:v>
      </x:c>
      <x:c r="J13" s="13" t="str"/>
      <x:c r="K13" s="13" t="str"/>
      <x:c r="L13" s="13" t="str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24" hidden="0" customHeight="1">
      <x:c r="A14" s="12" t="str">
        <x:v>1</x:v>
      </x:c>
      <x:c r="B14" s="12" t="str">
        <x:v>Mandate leadership and strategy</x:v>
      </x:c>
      <x:c r="C14" s="12" t="str">
        <x:v>1.2</x:v>
      </x:c>
      <x:c r="D14" s="12" t="str">
        <x:v>Are AI priorities explicitly linked to statistical programmes, user needs, quality problems and national development priorities?</x:v>
      </x:c>
      <x:c r="E14" s="13" t="str"/>
      <x:c r="F14" s="13" t="str"/>
      <x:c r="G14" s="13" t="str"/>
      <x:c r="H14" s="14" t="str">
        <x:f>IF(OR(E14="",G14=""),"",MAX(0,G14-E14))</x:f>
      </x:c>
      <x:c r="I14" s="12" t="str">
        <x:v>No</x:v>
      </x:c>
      <x:c r="J14" s="13" t="str"/>
      <x:c r="K14" s="13" t="str"/>
      <x:c r="L14" s="13" t="str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12" t="str">
        <x:v>1</x:v>
      </x:c>
      <x:c r="B15" s="12" t="str">
        <x:v>Mandate leadership and strategy</x:v>
      </x:c>
      <x:c r="C15" s="12" t="str">
        <x:v>1.3</x:v>
      </x:c>
      <x:c r="D15" s="12" t="str">
        <x:v>Are accountable owners, decision rights and escalation paths assigned for AI initiatives?</x:v>
      </x:c>
      <x:c r="E15" s="13" t="str"/>
      <x:c r="F15" s="13" t="str"/>
      <x:c r="G15" s="13" t="str"/>
      <x:c r="H15" s="14" t="str">
        <x:f>IF(OR(E15="",G15=""),"",MAX(0,G15-E15))</x:f>
      </x:c>
      <x:c r="I15" s="12" t="str">
        <x:v>Yes</x:v>
      </x:c>
      <x:c r="J15" s="13" t="str"/>
      <x:c r="K15" s="13" t="str"/>
      <x:c r="L15" s="13" t="str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24" hidden="0" customHeight="1">
      <x:c r="A16" s="12" t="str">
        <x:v>1</x:v>
      </x:c>
      <x:c r="B16" s="12" t="str">
        <x:v>Mandate leadership and strategy</x:v>
      </x:c>
      <x:c r="C16" s="12" t="str">
        <x:v>1.4</x:v>
      </x:c>
      <x:c r="D16" s="12" t="str">
        <x:v>Does leadership review benefits, risks, incidents and resource implications using documented evidence?</x:v>
      </x:c>
      <x:c r="E16" s="13" t="str"/>
      <x:c r="F16" s="13" t="str"/>
      <x:c r="G16" s="13" t="str"/>
      <x:c r="H16" s="14" t="str">
        <x:f>IF(OR(E16="",G16=""),"",MAX(0,G16-E16))</x:f>
      </x:c>
      <x:c r="I16" s="12" t="str">
        <x:v>No</x:v>
      </x:c>
      <x:c r="J16" s="13" t="str"/>
      <x:c r="K16" s="13" t="str"/>
      <x:c r="L16" s="13" t="str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24" hidden="0" customHeight="1">
      <x:c r="A17" s="12" t="str">
        <x:v>2</x:v>
      </x:c>
      <x:c r="B17" s="12" t="str">
        <x:v>NSS coordination and ecosystem governance</x:v>
      </x:c>
      <x:c r="C17" s="12" t="str">
        <x:v>2.1</x:v>
      </x:c>
      <x:c r="D17" s="12" t="str">
        <x:v>Is there an authoritative map of statistical producers, data holders, research institutions, users and relevant private providers?</x:v>
      </x:c>
      <x:c r="E17" s="13" t="str"/>
      <x:c r="F17" s="13" t="str"/>
      <x:c r="G17" s="13" t="str"/>
      <x:c r="H17" s="14" t="str">
        <x:f>IF(OR(E17="",G17=""),"",MAX(0,G17-E17))</x:f>
      </x:c>
      <x:c r="I17" s="12" t="str">
        <x:v>No</x:v>
      </x:c>
      <x:c r="J17" s="13" t="str"/>
      <x:c r="K17" s="13" t="str"/>
      <x:c r="L17" s="13" t="str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24" hidden="0" customHeight="1">
      <x:c r="A18" s="12" t="str">
        <x:v>2</x:v>
      </x:c>
      <x:c r="B18" s="12" t="str">
        <x:v>NSS coordination and ecosystem governance</x:v>
      </x:c>
      <x:c r="C18" s="12" t="str">
        <x:v>2.2</x:v>
      </x:c>
      <x:c r="D18" s="12" t="str">
        <x:v>Can cross-institution arrangements decide standards, priorities, access conditions and shared investments?</x:v>
      </x:c>
      <x:c r="E18" s="13" t="str"/>
      <x:c r="F18" s="13" t="str"/>
      <x:c r="G18" s="13" t="str"/>
      <x:c r="H18" s="14" t="str">
        <x:f>IF(OR(E18="",G18=""),"",MAX(0,G18-E18))</x:f>
      </x:c>
      <x:c r="I18" s="12" t="str">
        <x:v>No</x:v>
      </x:c>
      <x:c r="J18" s="13" t="str"/>
      <x:c r="K18" s="13" t="str"/>
      <x:c r="L18" s="13" t="str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24" hidden="0" customHeight="1">
      <x:c r="A19" s="12" t="str">
        <x:v>2</x:v>
      </x:c>
      <x:c r="B19" s="12" t="str">
        <x:v>NSS coordination and ecosystem governance</x:v>
      </x:c>
      <x:c r="C19" s="12" t="str">
        <x:v>2.3</x:v>
      </x:c>
      <x:c r="D19" s="12" t="str">
        <x:v>Are responsibilities for decentralized sector statistics and cross-domain data integration explicit and operational?</x:v>
      </x:c>
      <x:c r="E19" s="13" t="str"/>
      <x:c r="F19" s="13" t="str"/>
      <x:c r="G19" s="13" t="str"/>
      <x:c r="H19" s="14" t="str">
        <x:f>IF(OR(E19="",G19=""),"",MAX(0,G19-E19))</x:f>
      </x:c>
      <x:c r="I19" s="12" t="str">
        <x:v>No</x:v>
      </x:c>
      <x:c r="J19" s="13" t="str"/>
      <x:c r="K19" s="13" t="str"/>
      <x:c r="L19" s="13" t="str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24" hidden="0" customHeight="1">
      <x:c r="A20" s="12" t="str">
        <x:v>2</x:v>
      </x:c>
      <x:c r="B20" s="12" t="str">
        <x:v>NSS coordination and ecosystem governance</x:v>
      </x:c>
      <x:c r="C20" s="12" t="str">
        <x:v>2.4</x:v>
      </x:c>
      <x:c r="D20" s="12" t="str">
        <x:v>Can less-resourced producers participate in shared infrastructure, training and technical support?</x:v>
      </x:c>
      <x:c r="E20" s="13" t="str"/>
      <x:c r="F20" s="13" t="str"/>
      <x:c r="G20" s="13" t="str"/>
      <x:c r="H20" s="14" t="str">
        <x:f>IF(OR(E20="",G20=""),"",MAX(0,G20-E20))</x:f>
      </x:c>
      <x:c r="I20" s="12" t="str">
        <x:v>No</x:v>
      </x:c>
      <x:c r="J20" s="13" t="str"/>
      <x:c r="K20" s="13" t="str"/>
      <x:c r="L20" s="13" t="str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24" hidden="0" customHeight="1">
      <x:c r="A21" s="12" t="str">
        <x:v>3</x:v>
      </x:c>
      <x:c r="B21" s="12" t="str">
        <x:v>Law ethics and accountability</x:v>
      </x:c>
      <x:c r="C21" s="12" t="str">
        <x:v>3.1</x:v>
      </x:c>
      <x:c r="D21" s="12" t="str">
        <x:v>Is every proposed AI use reviewed for legal authority, statistical purpose, necessity and proportionality?</x:v>
      </x:c>
      <x:c r="E21" s="13" t="str"/>
      <x:c r="F21" s="13" t="str"/>
      <x:c r="G21" s="13" t="str"/>
      <x:c r="H21" s="14" t="str">
        <x:f>IF(OR(E21="",G21=""),"",MAX(0,G21-E21))</x:f>
      </x:c>
      <x:c r="I21" s="12" t="str">
        <x:v>Yes</x:v>
      </x:c>
      <x:c r="J21" s="13" t="str"/>
      <x:c r="K21" s="13" t="str"/>
      <x:c r="L21" s="13" t="str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24" hidden="0" customHeight="1">
      <x:c r="A22" s="12" t="str">
        <x:v>3</x:v>
      </x:c>
      <x:c r="B22" s="12" t="str">
        <x:v>Law ethics and accountability</x:v>
      </x:c>
      <x:c r="C22" s="12" t="str">
        <x:v>3.2</x:v>
      </x:c>
      <x:c r="D22" s="12" t="str">
        <x:v>Are confidentiality, privacy, fairness, exclusion and potential harm assessed before data or models are used?</x:v>
      </x:c>
      <x:c r="E22" s="13" t="str"/>
      <x:c r="F22" s="13" t="str"/>
      <x:c r="G22" s="13" t="str"/>
      <x:c r="H22" s="14" t="str">
        <x:f>IF(OR(E22="",G22=""),"",MAX(0,G22-E22))</x:f>
      </x:c>
      <x:c r="I22" s="12" t="str">
        <x:v>Yes</x:v>
      </x:c>
      <x:c r="J22" s="13" t="str"/>
      <x:c r="K22" s="13" t="str"/>
      <x:c r="L22" s="13" t="str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24" hidden="0" customHeight="1">
      <x:c r="A23" s="12" t="str">
        <x:v>3</x:v>
      </x:c>
      <x:c r="B23" s="12" t="str">
        <x:v>Law ethics and accountability</x:v>
      </x:c>
      <x:c r="C23" s="12" t="str">
        <x:v>3.3</x:v>
      </x:c>
      <x:c r="D23" s="12" t="str">
        <x:v>Are human decision authority, challenge mechanisms and accountability retained for consequential outputs?</x:v>
      </x:c>
      <x:c r="E23" s="13" t="str"/>
      <x:c r="F23" s="13" t="str"/>
      <x:c r="G23" s="13" t="str"/>
      <x:c r="H23" s="14" t="str">
        <x:f>IF(OR(E23="",G23=""),"",MAX(0,G23-E23))</x:f>
      </x:c>
      <x:c r="I23" s="12" t="str">
        <x:v>Yes</x:v>
      </x:c>
      <x:c r="J23" s="13" t="str"/>
      <x:c r="K23" s="13" t="str"/>
      <x:c r="L23" s="13" t="str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24" hidden="0" customHeight="1">
      <x:c r="A24" s="12" t="str">
        <x:v>3</x:v>
      </x:c>
      <x:c r="B24" s="12" t="str">
        <x:v>Law ethics and accountability</x:v>
      </x:c>
      <x:c r="C24" s="12" t="str">
        <x:v>3.4</x:v>
      </x:c>
      <x:c r="D24" s="12" t="str">
        <x:v>Are incidents, breaches, material errors and exceptions documented, escalated and corrected?</x:v>
      </x:c>
      <x:c r="E24" s="13" t="str"/>
      <x:c r="F24" s="13" t="str"/>
      <x:c r="G24" s="13" t="str"/>
      <x:c r="H24" s="14" t="str">
        <x:f>IF(OR(E24="",G24=""),"",MAX(0,G24-E24))</x:f>
      </x:c>
      <x:c r="I24" s="12" t="str">
        <x:v>No</x:v>
      </x:c>
      <x:c r="J24" s="13" t="str"/>
      <x:c r="K24" s="13" t="str"/>
      <x:c r="L24" s="13" t="str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24" hidden="0" customHeight="1">
      <x:c r="A25" s="12" t="str">
        <x:v>4</x:v>
      </x:c>
      <x:c r="B25" s="12" t="str">
        <x:v>Data governance access and confidentiality</x:v>
      </x:c>
      <x:c r="C25" s="12" t="str">
        <x:v>4.1</x:v>
      </x:c>
      <x:c r="D25" s="12" t="str">
        <x:v>Does the organization maintain inventories of datasets, variables, owners, sensitivity and access conditions?</x:v>
      </x:c>
      <x:c r="E25" s="13" t="str"/>
      <x:c r="F25" s="13" t="str"/>
      <x:c r="G25" s="13" t="str"/>
      <x:c r="H25" s="14" t="str">
        <x:f>IF(OR(E25="",G25=""),"",MAX(0,G25-E25))</x:f>
      </x:c>
      <x:c r="I25" s="12" t="str">
        <x:v>Yes</x:v>
      </x:c>
      <x:c r="J25" s="13" t="str"/>
      <x:c r="K25" s="13" t="str"/>
      <x:c r="L25" s="13" t="str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24" hidden="0" customHeight="1">
      <x:c r="A26" s="12" t="str">
        <x:v>4</x:v>
      </x:c>
      <x:c r="B26" s="12" t="str">
        <x:v>Data governance access and confidentiality</x:v>
      </x:c>
      <x:c r="C26" s="12" t="str">
        <x:v>4.2</x:v>
      </x:c>
      <x:c r="D26" s="12" t="str">
        <x:v>Are administrative, survey, census, research and alternative data acquired under enforceable arrangements?</x:v>
      </x:c>
      <x:c r="E26" s="13" t="str"/>
      <x:c r="F26" s="13" t="str"/>
      <x:c r="G26" s="13" t="str"/>
      <x:c r="H26" s="14" t="str">
        <x:f>IF(OR(E26="",G26=""),"",MAX(0,G26-E26))</x:f>
      </x:c>
      <x:c r="I26" s="12" t="str">
        <x:v>No</x:v>
      </x:c>
      <x:c r="J26" s="13" t="str"/>
      <x:c r="K26" s="13" t="str"/>
      <x:c r="L26" s="13" t="str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24" hidden="0" customHeight="1">
      <x:c r="A27" s="12" t="str">
        <x:v>4</x:v>
      </x:c>
      <x:c r="B27" s="12" t="str">
        <x:v>Data governance access and confidentiality</x:v>
      </x:c>
      <x:c r="C27" s="12" t="str">
        <x:v>4.3</x:v>
      </x:c>
      <x:c r="D27" s="12" t="str">
        <x:v>Are access controls, secure processing, disclosure control and output checking proportionate to data sensitivity?</x:v>
      </x:c>
      <x:c r="E27" s="13" t="str"/>
      <x:c r="F27" s="13" t="str"/>
      <x:c r="G27" s="13" t="str"/>
      <x:c r="H27" s="14" t="str">
        <x:f>IF(OR(E27="",G27=""),"",MAX(0,G27-E27))</x:f>
      </x:c>
      <x:c r="I27" s="12" t="str">
        <x:v>Yes</x:v>
      </x:c>
      <x:c r="J27" s="13" t="str"/>
      <x:c r="K27" s="13" t="str"/>
      <x:c r="L27" s="13" t="str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24" hidden="0" customHeight="1">
      <x:c r="A28" s="12" t="str">
        <x:v>4</x:v>
      </x:c>
      <x:c r="B28" s="12" t="str">
        <x:v>Data governance access and confidentiality</x:v>
      </x:c>
      <x:c r="C28" s="12" t="str">
        <x:v>4.4</x:v>
      </x:c>
      <x:c r="D28" s="12" t="str">
        <x:v>Are provenance, linkage history, transformations, versions and permitted reuse traceable?</x:v>
      </x:c>
      <x:c r="E28" s="13" t="str"/>
      <x:c r="F28" s="13" t="str"/>
      <x:c r="G28" s="13" t="str"/>
      <x:c r="H28" s="14" t="str">
        <x:f>IF(OR(E28="",G28=""),"",MAX(0,G28-E28))</x:f>
      </x:c>
      <x:c r="I28" s="12" t="str">
        <x:v>No</x:v>
      </x:c>
      <x:c r="J28" s="13" t="str"/>
      <x:c r="K28" s="13" t="str"/>
      <x:c r="L28" s="13" t="str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24" hidden="0" customHeight="1">
      <x:c r="A29" s="12" t="str">
        <x:v>5</x:v>
      </x:c>
      <x:c r="B29" s="12" t="str">
        <x:v>Statistical methods quality and fitness for use</x:v>
      </x:c>
      <x:c r="C29" s="12" t="str">
        <x:v>5.1</x:v>
      </x:c>
      <x:c r="D29" s="12" t="str">
        <x:v>Are intended users, decisions, concepts, population, reference period and fitness-for-use criteria documented?</x:v>
      </x:c>
      <x:c r="E29" s="13" t="str"/>
      <x:c r="F29" s="13" t="str"/>
      <x:c r="G29" s="13" t="str"/>
      <x:c r="H29" s="14" t="str">
        <x:f>IF(OR(E29="",G29=""),"",MAX(0,G29-E29))</x:f>
      </x:c>
      <x:c r="I29" s="12" t="str">
        <x:v>Yes</x:v>
      </x:c>
      <x:c r="J29" s="13" t="str"/>
      <x:c r="K29" s="13" t="str"/>
      <x:c r="L29" s="13" t="str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24" hidden="0" customHeight="1">
      <x:c r="A30" s="12" t="str">
        <x:v>5</x:v>
      </x:c>
      <x:c r="B30" s="12" t="str">
        <x:v>Statistical methods quality and fitness for use</x:v>
      </x:c>
      <x:c r="C30" s="12" t="str">
        <x:v>5.2</x:v>
      </x:c>
      <x:c r="D30" s="12" t="str">
        <x:v>Is an appropriate benchmark or established method available for comparing AI-assisted results?</x:v>
      </x:c>
      <x:c r="E30" s="13" t="str"/>
      <x:c r="F30" s="13" t="str"/>
      <x:c r="G30" s="13" t="str"/>
      <x:c r="H30" s="14" t="str">
        <x:f>IF(OR(E30="",G30=""),"",MAX(0,G30-E30))</x:f>
      </x:c>
      <x:c r="I30" s="12" t="str">
        <x:v>Yes</x:v>
      </x:c>
      <x:c r="J30" s="13" t="str"/>
      <x:c r="K30" s="13" t="str"/>
      <x:c r="L30" s="13" t="str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24" hidden="0" customHeight="1">
      <x:c r="A31" s="12" t="str">
        <x:v>5</x:v>
      </x:c>
      <x:c r="B31" s="12" t="str">
        <x:v>Statistical methods quality and fitness for use</x:v>
      </x:c>
      <x:c r="C31" s="12" t="str">
        <x:v>5.3</x:v>
      </x:c>
      <x:c r="D31" s="12" t="str">
        <x:v>Are accuracy, relevance, coherence, comparability, timeliness, accessibility and interpretability assessed together?</x:v>
      </x:c>
      <x:c r="E31" s="13" t="str"/>
      <x:c r="F31" s="13" t="str"/>
      <x:c r="G31" s="13" t="str"/>
      <x:c r="H31" s="14" t="str">
        <x:f>IF(OR(E31="",G31=""),"",MAX(0,G31-E31))</x:f>
      </x:c>
      <x:c r="I31" s="12" t="str">
        <x:v>Yes</x:v>
      </x:c>
      <x:c r="J31" s="13" t="str"/>
      <x:c r="K31" s="13" t="str"/>
      <x:c r="L31" s="13" t="str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24" hidden="0" customHeight="1">
      <x:c r="A32" s="12" t="str">
        <x:v>5</x:v>
      </x:c>
      <x:c r="B32" s="12" t="str">
        <x:v>Statistical methods quality and fitness for use</x:v>
      </x:c>
      <x:c r="C32" s="12" t="str">
        <x:v>5.4</x:v>
      </x:c>
      <x:c r="D32" s="12" t="str">
        <x:v>Are uncertainty, bias, coverage error, model drift and revisions monitored over time and across important groups?</x:v>
      </x:c>
      <x:c r="E32" s="13" t="str"/>
      <x:c r="F32" s="13" t="str"/>
      <x:c r="G32" s="13" t="str"/>
      <x:c r="H32" s="14" t="str">
        <x:f>IF(OR(E32="",G32=""),"",MAX(0,G32-E32))</x:f>
      </x:c>
      <x:c r="I32" s="12" t="str">
        <x:v>No</x:v>
      </x:c>
      <x:c r="J32" s="13" t="str"/>
      <x:c r="K32" s="13" t="str"/>
      <x:c r="L32" s="13" t="str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24" hidden="0" customHeight="1">
      <x:c r="A33" s="12" t="str">
        <x:v>6</x:v>
      </x:c>
      <x:c r="B33" s="12" t="str">
        <x:v>Human resources competencies and culture</x:v>
      </x:c>
      <x:c r="C33" s="12" t="str">
        <x:v>6.1</x:v>
      </x:c>
      <x:c r="D33" s="12" t="str">
        <x:v>Has the institution mapped required AI-related competencies by role and compared them with current capacity?</x:v>
      </x:c>
      <x:c r="E33" s="13" t="str"/>
      <x:c r="F33" s="13" t="str"/>
      <x:c r="G33" s="13" t="str"/>
      <x:c r="H33" s="14" t="str">
        <x:f>IF(OR(E33="",G33=""),"",MAX(0,G33-E33))</x:f>
      </x:c>
      <x:c r="I33" s="12" t="str">
        <x:v>No</x:v>
      </x:c>
      <x:c r="J33" s="13" t="str"/>
      <x:c r="K33" s="13" t="str"/>
      <x:c r="L33" s="13" t="str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24" hidden="0" customHeight="1">
      <x:c r="A34" s="12" t="str">
        <x:v>6</x:v>
      </x:c>
      <x:c r="B34" s="12" t="str">
        <x:v>Human resources competencies and culture</x:v>
      </x:c>
      <x:c r="C34" s="12" t="str">
        <x:v>6.2</x:v>
      </x:c>
      <x:c r="D34" s="12" t="str">
        <x:v>Do learning pathways combine statistical reasoning, data quality, AI methods, governance and workplace practice?</x:v>
      </x:c>
      <x:c r="E34" s="13" t="str"/>
      <x:c r="F34" s="13" t="str"/>
      <x:c r="G34" s="13" t="str"/>
      <x:c r="H34" s="14" t="str">
        <x:f>IF(OR(E34="",G34=""),"",MAX(0,G34-E34))</x:f>
      </x:c>
      <x:c r="I34" s="12" t="str">
        <x:v>No</x:v>
      </x:c>
      <x:c r="J34" s="13" t="str"/>
      <x:c r="K34" s="13" t="str"/>
      <x:c r="L34" s="13" t="str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24" hidden="0" customHeight="1">
      <x:c r="A35" s="12" t="str">
        <x:v>6</x:v>
      </x:c>
      <x:c r="B35" s="12" t="str">
        <x:v>Human resources competencies and culture</x:v>
      </x:c>
      <x:c r="C35" s="12" t="str">
        <x:v>6.3</x:v>
      </x:c>
      <x:c r="D35" s="12" t="str">
        <x:v>Can statistical, subject-matter, technology, legal and communication specialists work as accountable teams?</x:v>
      </x:c>
      <x:c r="E35" s="13" t="str"/>
      <x:c r="F35" s="13" t="str"/>
      <x:c r="G35" s="13" t="str"/>
      <x:c r="H35" s="14" t="str">
        <x:f>IF(OR(E35="",G35=""),"",MAX(0,G35-E35))</x:f>
      </x:c>
      <x:c r="I35" s="12" t="str">
        <x:v>No</x:v>
      </x:c>
      <x:c r="J35" s="13" t="str"/>
      <x:c r="K35" s="13" t="str"/>
      <x:c r="L35" s="13" t="str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24" hidden="0" customHeight="1">
      <x:c r="A36" s="12" t="str">
        <x:v>6</x:v>
      </x:c>
      <x:c r="B36" s="12" t="str">
        <x:v>Human resources competencies and culture</x:v>
      </x:c>
      <x:c r="C36" s="12" t="str">
        <x:v>6.4</x:v>
      </x:c>
      <x:c r="D36" s="12" t="str">
        <x:v>Are staff given safe channels, time and incentives to experiment, report limitations and challenge inappropriate uses?</x:v>
      </x:c>
      <x:c r="E36" s="13" t="str"/>
      <x:c r="F36" s="13" t="str"/>
      <x:c r="G36" s="13" t="str"/>
      <x:c r="H36" s="14" t="str">
        <x:f>IF(OR(E36="",G36=""),"",MAX(0,G36-E36))</x:f>
      </x:c>
      <x:c r="I36" s="12" t="str">
        <x:v>No</x:v>
      </x:c>
      <x:c r="J36" s="13" t="str"/>
      <x:c r="K36" s="13" t="str"/>
      <x:c r="L36" s="13" t="str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24" hidden="0" customHeight="1">
      <x:c r="A37" s="12" t="str">
        <x:v>7</x:v>
      </x:c>
      <x:c r="B37" s="12" t="str">
        <x:v>Technology architecture and security</x:v>
      </x:c>
      <x:c r="C37" s="12" t="str">
        <x:v>7.1</x:v>
      </x:c>
      <x:c r="D37" s="12" t="str">
        <x:v>Is there an approved secure environment for experimentation and production, separated according to risk?</x:v>
      </x:c>
      <x:c r="E37" s="13" t="str"/>
      <x:c r="F37" s="13" t="str"/>
      <x:c r="G37" s="13" t="str"/>
      <x:c r="H37" s="14" t="str">
        <x:f>IF(OR(E37="",G37=""),"",MAX(0,G37-E37))</x:f>
      </x:c>
      <x:c r="I37" s="12" t="str">
        <x:v>Yes</x:v>
      </x:c>
      <x:c r="J37" s="13" t="str"/>
      <x:c r="K37" s="13" t="str"/>
      <x:c r="L37" s="13" t="str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24" hidden="0" customHeight="1">
      <x:c r="A38" s="12" t="str">
        <x:v>7</x:v>
      </x:c>
      <x:c r="B38" s="12" t="str">
        <x:v>Technology architecture and security</x:v>
      </x:c>
      <x:c r="C38" s="12" t="str">
        <x:v>7.2</x:v>
      </x:c>
      <x:c r="D38" s="12" t="str">
        <x:v>Are identity, access, encryption, logging, backup, recovery and vulnerability management operational?</x:v>
      </x:c>
      <x:c r="E38" s="13" t="str"/>
      <x:c r="F38" s="13" t="str"/>
      <x:c r="G38" s="13" t="str"/>
      <x:c r="H38" s="14" t="str">
        <x:f>IF(OR(E38="",G38=""),"",MAX(0,G38-E38))</x:f>
      </x:c>
      <x:c r="I38" s="12" t="str">
        <x:v>Yes</x:v>
      </x:c>
      <x:c r="J38" s="13" t="str"/>
      <x:c r="K38" s="13" t="str"/>
      <x:c r="L38" s="13" t="str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24" hidden="0" customHeight="1">
      <x:c r="A39" s="12" t="str">
        <x:v>7</x:v>
      </x:c>
      <x:c r="B39" s="12" t="str">
        <x:v>Technology architecture and security</x:v>
      </x:c>
      <x:c r="C39" s="12" t="str">
        <x:v>7.3</x:v>
      </x:c>
      <x:c r="D39" s="12" t="str">
        <x:v>Can systems exchange data and metadata using standards without avoidable vendor dependence?</x:v>
      </x:c>
      <x:c r="E39" s="13" t="str"/>
      <x:c r="F39" s="13" t="str"/>
      <x:c r="G39" s="13" t="str"/>
      <x:c r="H39" s="14" t="str">
        <x:f>IF(OR(E39="",G39=""),"",MAX(0,G39-E39))</x:f>
      </x:c>
      <x:c r="I39" s="12" t="str">
        <x:v>No</x:v>
      </x:c>
      <x:c r="J39" s="13" t="str"/>
      <x:c r="K39" s="13" t="str"/>
      <x:c r="L39" s="13" t="str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24" hidden="0" customHeight="1">
      <x:c r="A40" s="12" t="str">
        <x:v>7</x:v>
      </x:c>
      <x:c r="B40" s="12" t="str">
        <x:v>Technology architecture and security</x:v>
      </x:c>
      <x:c r="C40" s="12" t="str">
        <x:v>7.4</x:v>
      </x:c>
      <x:c r="D40" s="12" t="str">
        <x:v>Are capacity, reliability, performance, energy implications and total operating costs monitored?</x:v>
      </x:c>
      <x:c r="E40" s="13" t="str"/>
      <x:c r="F40" s="13" t="str"/>
      <x:c r="G40" s="13" t="str"/>
      <x:c r="H40" s="14" t="str">
        <x:f>IF(OR(E40="",G40=""),"",MAX(0,G40-E40))</x:f>
      </x:c>
      <x:c r="I40" s="12" t="str">
        <x:v>No</x:v>
      </x:c>
      <x:c r="J40" s="13" t="str"/>
      <x:c r="K40" s="13" t="str"/>
      <x:c r="L40" s="13" t="str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24" hidden="0" customHeight="1">
      <x:c r="A41" s="12" t="str">
        <x:v>8</x:v>
      </x:c>
      <x:c r="B41" s="12" t="str">
        <x:v>Production processes and reproducibility</x:v>
      </x:c>
      <x:c r="C41" s="12" t="str">
        <x:v>8.1</x:v>
      </x:c>
      <x:c r="D41" s="12" t="str">
        <x:v>Is the affected production process mapped with inputs, transformations, controls, outputs and owners?</x:v>
      </x:c>
      <x:c r="E41" s="13" t="str"/>
      <x:c r="F41" s="13" t="str"/>
      <x:c r="G41" s="13" t="str"/>
      <x:c r="H41" s="14" t="str">
        <x:f>IF(OR(E41="",G41=""),"",MAX(0,G41-E41))</x:f>
      </x:c>
      <x:c r="I41" s="12" t="str">
        <x:v>Yes</x:v>
      </x:c>
      <x:c r="J41" s="13" t="str"/>
      <x:c r="K41" s="13" t="str"/>
      <x:c r="L41" s="13" t="str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24" hidden="0" customHeight="1">
      <x:c r="A42" s="12" t="str">
        <x:v>8</x:v>
      </x:c>
      <x:c r="B42" s="12" t="str">
        <x:v>Production processes and reproducibility</x:v>
      </x:c>
      <x:c r="C42" s="12" t="str">
        <x:v>8.2</x:v>
      </x:c>
      <x:c r="D42" s="12" t="str">
        <x:v>Are code, prompts, models, parameters, data versions and execution environments versioned and reproducible?</x:v>
      </x:c>
      <x:c r="E42" s="13" t="str"/>
      <x:c r="F42" s="13" t="str"/>
      <x:c r="G42" s="13" t="str"/>
      <x:c r="H42" s="14" t="str">
        <x:f>IF(OR(E42="",G42=""),"",MAX(0,G42-E42))</x:f>
      </x:c>
      <x:c r="I42" s="12" t="str">
        <x:v>Yes</x:v>
      </x:c>
      <x:c r="J42" s="13" t="str"/>
      <x:c r="K42" s="13" t="str"/>
      <x:c r="L42" s="13" t="str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24" hidden="0" customHeight="1">
      <x:c r="A43" s="12" t="str">
        <x:v>8</x:v>
      </x:c>
      <x:c r="B43" s="12" t="str">
        <x:v>Production processes and reproducibility</x:v>
      </x:c>
      <x:c r="C43" s="12" t="str">
        <x:v>8.3</x:v>
      </x:c>
      <x:c r="D43" s="12" t="str">
        <x:v>Are automated tests, statistical validation, peer review and release authorization embedded in the workflow?</x:v>
      </x:c>
      <x:c r="E43" s="13" t="str"/>
      <x:c r="F43" s="13" t="str"/>
      <x:c r="G43" s="13" t="str"/>
      <x:c r="H43" s="14" t="str">
        <x:f>IF(OR(E43="",G43=""),"",MAX(0,G43-E43))</x:f>
      </x:c>
      <x:c r="I43" s="12" t="str">
        <x:v>Yes</x:v>
      </x:c>
      <x:c r="J43" s="13" t="str"/>
      <x:c r="K43" s="13" t="str"/>
      <x:c r="L43" s="13" t="str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24" hidden="0" customHeight="1">
      <x:c r="A44" s="12" t="str">
        <x:v>8</x:v>
      </x:c>
      <x:c r="B44" s="12" t="str">
        <x:v>Production processes and reproducibility</x:v>
      </x:c>
      <x:c r="C44" s="12" t="str">
        <x:v>8.4</x:v>
      </x:c>
      <x:c r="D44" s="12" t="str">
        <x:v>Are fallback procedures, manual overrides, revision rules and continuity arrangements tested?</x:v>
      </x:c>
      <x:c r="E44" s="13" t="str"/>
      <x:c r="F44" s="13" t="str"/>
      <x:c r="G44" s="13" t="str"/>
      <x:c r="H44" s="14" t="str">
        <x:f>IF(OR(E44="",G44=""),"",MAX(0,G44-E44))</x:f>
      </x:c>
      <x:c r="I44" s="12" t="str">
        <x:v>Yes</x:v>
      </x:c>
      <x:c r="J44" s="13" t="str"/>
      <x:c r="K44" s="13" t="str"/>
      <x:c r="L44" s="13" t="str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24" hidden="0" customHeight="1">
      <x:c r="A45" s="12" t="str">
        <x:v>9</x:v>
      </x:c>
      <x:c r="B45" s="12" t="str">
        <x:v>AI use cases models and portfolio</x:v>
      </x:c>
      <x:c r="C45" s="12" t="str">
        <x:v>9.1</x:v>
      </x:c>
      <x:c r="D45" s="12" t="str">
        <x:v>Is there a complete register of AI experiments and operational uses, including owner, purpose, data and status?</x:v>
      </x:c>
      <x:c r="E45" s="13" t="str"/>
      <x:c r="F45" s="13" t="str"/>
      <x:c r="G45" s="13" t="str"/>
      <x:c r="H45" s="14" t="str">
        <x:f>IF(OR(E45="",G45=""),"",MAX(0,G45-E45))</x:f>
      </x:c>
      <x:c r="I45" s="12" t="str">
        <x:v>Yes</x:v>
      </x:c>
      <x:c r="J45" s="13" t="str"/>
      <x:c r="K45" s="13" t="str"/>
      <x:c r="L45" s="13" t="str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24" hidden="0" customHeight="1">
      <x:c r="A46" s="12" t="str">
        <x:v>9</x:v>
      </x:c>
      <x:c r="B46" s="12" t="str">
        <x:v>AI use cases models and portfolio</x:v>
      </x:c>
      <x:c r="C46" s="12" t="str">
        <x:v>9.2</x:v>
      </x:c>
      <x:c r="D46" s="12" t="str">
        <x:v>Are use cases selected through documented value, feasibility, risk, data-readiness and sustainability criteria?</x:v>
      </x:c>
      <x:c r="E46" s="13" t="str"/>
      <x:c r="F46" s="13" t="str"/>
      <x:c r="G46" s="13" t="str"/>
      <x:c r="H46" s="14" t="str">
        <x:f>IF(OR(E46="",G46=""),"",MAX(0,G46-E46))</x:f>
      </x:c>
      <x:c r="I46" s="12" t="str">
        <x:v>No</x:v>
      </x:c>
      <x:c r="J46" s="13" t="str"/>
      <x:c r="K46" s="13" t="str"/>
      <x:c r="L46" s="13" t="str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24" hidden="0" customHeight="1">
      <x:c r="A47" s="12" t="str">
        <x:v>9</x:v>
      </x:c>
      <x:c r="B47" s="12" t="str">
        <x:v>AI use cases models and portfolio</x:v>
      </x:c>
      <x:c r="C47" s="12" t="str">
        <x:v>9.3</x:v>
      </x:c>
      <x:c r="D47" s="12" t="str">
        <x:v>Does each model or AI service have independent validation proportionate to its risk and statistical purpose?</x:v>
      </x:c>
      <x:c r="E47" s="13" t="str"/>
      <x:c r="F47" s="13" t="str"/>
      <x:c r="G47" s="13" t="str"/>
      <x:c r="H47" s="14" t="str">
        <x:f>IF(OR(E47="",G47=""),"",MAX(0,G47-E47))</x:f>
      </x:c>
      <x:c r="I47" s="12" t="str">
        <x:v>Yes</x:v>
      </x:c>
      <x:c r="J47" s="13" t="str"/>
      <x:c r="K47" s="13" t="str"/>
      <x:c r="L47" s="13" t="str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24" hidden="0" customHeight="1">
      <x:c r="A48" s="12" t="str">
        <x:v>9</x:v>
      </x:c>
      <x:c r="B48" s="12" t="str">
        <x:v>AI use cases models and portfolio</x:v>
      </x:c>
      <x:c r="C48" s="12" t="str">
        <x:v>9.4</x:v>
      </x:c>
      <x:c r="D48" s="12" t="str">
        <x:v>Are deployed models monitored, revalidated after material change and retired when no longer fit for use?</x:v>
      </x:c>
      <x:c r="E48" s="13" t="str"/>
      <x:c r="F48" s="13" t="str"/>
      <x:c r="G48" s="13" t="str"/>
      <x:c r="H48" s="14" t="str">
        <x:f>IF(OR(E48="",G48=""),"",MAX(0,G48-E48))</x:f>
      </x:c>
      <x:c r="I48" s="12" t="str">
        <x:v>Yes</x:v>
      </x:c>
      <x:c r="J48" s="13" t="str"/>
      <x:c r="K48" s="13" t="str"/>
      <x:c r="L48" s="13" t="str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24" hidden="0" customHeight="1">
      <x:c r="A49" s="12" t="str">
        <x:v>10</x:v>
      </x:c>
      <x:c r="B49" s="12" t="str">
        <x:v>Finance procurement and sustainability</x:v>
      </x:c>
      <x:c r="C49" s="12" t="str">
        <x:v>10.1</x:v>
      </x:c>
      <x:c r="D49" s="12" t="str">
        <x:v>Are full lifecycle costs estimated, including data, infrastructure, licences, assurance, staff and maintenance?</x:v>
      </x:c>
      <x:c r="E49" s="13" t="str"/>
      <x:c r="F49" s="13" t="str"/>
      <x:c r="G49" s="13" t="str"/>
      <x:c r="H49" s="14" t="str">
        <x:f>IF(OR(E49="",G49=""),"",MAX(0,G49-E49))</x:f>
      </x:c>
      <x:c r="I49" s="12" t="str">
        <x:v>No</x:v>
      </x:c>
      <x:c r="J49" s="13" t="str"/>
      <x:c r="K49" s="13" t="str"/>
      <x:c r="L49" s="13" t="str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24" hidden="0" customHeight="1">
      <x:c r="A50" s="12" t="str">
        <x:v>10</x:v>
      </x:c>
      <x:c r="B50" s="12" t="str">
        <x:v>Finance procurement and sustainability</x:v>
      </x:c>
      <x:c r="C50" s="12" t="str">
        <x:v>10.2</x:v>
      </x:c>
      <x:c r="D50" s="12" t="str">
        <x:v>Do procurement requirements cover confidentiality, security, intellectual property, auditability and statistical quality?</x:v>
      </x:c>
      <x:c r="E50" s="13" t="str"/>
      <x:c r="F50" s="13" t="str"/>
      <x:c r="G50" s="13" t="str"/>
      <x:c r="H50" s="14" t="str">
        <x:f>IF(OR(E50="",G50=""),"",MAX(0,G50-E50))</x:f>
      </x:c>
      <x:c r="I50" s="12" t="str">
        <x:v>Yes</x:v>
      </x:c>
      <x:c r="J50" s="13" t="str"/>
      <x:c r="K50" s="13" t="str"/>
      <x:c r="L50" s="13" t="str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24" hidden="0" customHeight="1">
      <x:c r="A51" s="12" t="str">
        <x:v>10</x:v>
      </x:c>
      <x:c r="B51" s="12" t="str">
        <x:v>Finance procurement and sustainability</x:v>
      </x:c>
      <x:c r="C51" s="12" t="str">
        <x:v>10.3</x:v>
      </x:c>
      <x:c r="D51" s="12" t="str">
        <x:v>Can the institution access its data, documentation and outputs and exit or change vendors safely?</x:v>
      </x:c>
      <x:c r="E51" s="13" t="str"/>
      <x:c r="F51" s="13" t="str"/>
      <x:c r="G51" s="13" t="str"/>
      <x:c r="H51" s="14" t="str">
        <x:f>IF(OR(E51="",G51=""),"",MAX(0,G51-E51))</x:f>
      </x:c>
      <x:c r="I51" s="12" t="str">
        <x:v>Yes</x:v>
      </x:c>
      <x:c r="J51" s="13" t="str"/>
      <x:c r="K51" s="13" t="str"/>
      <x:c r="L51" s="13" t="str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24" hidden="0" customHeight="1">
      <x:c r="A52" s="12" t="str">
        <x:v>10</x:v>
      </x:c>
      <x:c r="B52" s="12" t="str">
        <x:v>Finance procurement and sustainability</x:v>
      </x:c>
      <x:c r="C52" s="12" t="str">
        <x:v>10.4</x:v>
      </x:c>
      <x:c r="D52" s="12" t="str">
        <x:v>Are realized time, cost, quality and user benefits measured against baseline and total cost?</x:v>
      </x:c>
      <x:c r="E52" s="13" t="str"/>
      <x:c r="F52" s="13" t="str"/>
      <x:c r="G52" s="13" t="str"/>
      <x:c r="H52" s="14" t="str">
        <x:f>IF(OR(E52="",G52=""),"",MAX(0,G52-E52))</x:f>
      </x:c>
      <x:c r="I52" s="12" t="str">
        <x:v>No</x:v>
      </x:c>
      <x:c r="J52" s="13" t="str"/>
      <x:c r="K52" s="13" t="str"/>
      <x:c r="L52" s="13" t="str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24" hidden="0" customHeight="1">
      <x:c r="A53" s="12" t="str">
        <x:v>11</x:v>
      </x:c>
      <x:c r="B53" s="12" t="str">
        <x:v>Partnerships research and innovation</x:v>
      </x:c>
      <x:c r="C53" s="12" t="str">
        <x:v>11.1</x:v>
      </x:c>
      <x:c r="D53" s="12" t="str">
        <x:v>Are research institutions, agricultural research stations and other innovation partners included in the ecosystem map?</x:v>
      </x:c>
      <x:c r="E53" s="13" t="str"/>
      <x:c r="F53" s="13" t="str"/>
      <x:c r="G53" s="13" t="str"/>
      <x:c r="H53" s="14" t="str">
        <x:f>IF(OR(E53="",G53=""),"",MAX(0,G53-E53))</x:f>
      </x:c>
      <x:c r="I53" s="12" t="str">
        <x:v>No</x:v>
      </x:c>
      <x:c r="J53" s="13" t="str"/>
      <x:c r="K53" s="13" t="str"/>
      <x:c r="L53" s="13" t="str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24" hidden="0" customHeight="1">
      <x:c r="A54" s="12" t="str">
        <x:v>11</x:v>
      </x:c>
      <x:c r="B54" s="12" t="str">
        <x:v>Partnerships research and innovation</x:v>
      </x:c>
      <x:c r="C54" s="12" t="str">
        <x:v>11.2</x:v>
      </x:c>
      <x:c r="D54" s="12" t="str">
        <x:v>Do agreements define data rights, publication, confidentiality, validation, knowledge transfer and continuity?</x:v>
      </x:c>
      <x:c r="E54" s="13" t="str"/>
      <x:c r="F54" s="13" t="str"/>
      <x:c r="G54" s="13" t="str"/>
      <x:c r="H54" s="14" t="str">
        <x:f>IF(OR(E54="",G54=""),"",MAX(0,G54-E54))</x:f>
      </x:c>
      <x:c r="I54" s="12" t="str">
        <x:v>No</x:v>
      </x:c>
      <x:c r="J54" s="13" t="str"/>
      <x:c r="K54" s="13" t="str"/>
      <x:c r="L54" s="13" t="str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24" hidden="0" customHeight="1">
      <x:c r="A55" s="12" t="str">
        <x:v>11</x:v>
      </x:c>
      <x:c r="B55" s="12" t="str">
        <x:v>Partnerships research and innovation</x:v>
      </x:c>
      <x:c r="C55" s="12" t="str">
        <x:v>11.3</x:v>
      </x:c>
      <x:c r="D55" s="12" t="str">
        <x:v>Are experimental findings independently tested under operational conditions before statistical use?</x:v>
      </x:c>
      <x:c r="E55" s="13" t="str"/>
      <x:c r="F55" s="13" t="str"/>
      <x:c r="G55" s="13" t="str"/>
      <x:c r="H55" s="14" t="str">
        <x:f>IF(OR(E55="",G55=""),"",MAX(0,G55-E55))</x:f>
      </x:c>
      <x:c r="I55" s="12" t="str">
        <x:v>Yes</x:v>
      </x:c>
      <x:c r="J55" s="13" t="str"/>
      <x:c r="K55" s="13" t="str"/>
      <x:c r="L55" s="13" t="str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24" hidden="0" customHeight="1">
      <x:c r="A56" s="12" t="str">
        <x:v>11</x:v>
      </x:c>
      <x:c r="B56" s="12" t="str">
        <x:v>Partnerships research and innovation</x:v>
      </x:c>
      <x:c r="C56" s="12" t="str">
        <x:v>11.4</x:v>
      </x:c>
      <x:c r="D56" s="12" t="str">
        <x:v>Are donor and partner investments coordinated around national architecture and durable local capability?</x:v>
      </x:c>
      <x:c r="E56" s="13" t="str"/>
      <x:c r="F56" s="13" t="str"/>
      <x:c r="G56" s="13" t="str"/>
      <x:c r="H56" s="14" t="str">
        <x:f>IF(OR(E56="",G56=""),"",MAX(0,G56-E56))</x:f>
      </x:c>
      <x:c r="I56" s="12" t="str">
        <x:v>No</x:v>
      </x:c>
      <x:c r="J56" s="13" t="str"/>
      <x:c r="K56" s="13" t="str"/>
      <x:c r="L56" s="13" t="str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24" hidden="0" customHeight="1">
      <x:c r="A57" s="12" t="str">
        <x:v>12</x:v>
      </x:c>
      <x:c r="B57" s="12" t="str">
        <x:v>Users communication and public trust</x:v>
      </x:c>
      <x:c r="C57" s="12" t="str">
        <x:v>12.1</x:v>
      </x:c>
      <x:c r="D57" s="12" t="str">
        <x:v>Are representative users involved in defining needs, acceptable error, timeliness and explanation requirements?</x:v>
      </x:c>
      <x:c r="E57" s="13" t="str"/>
      <x:c r="F57" s="13" t="str"/>
      <x:c r="G57" s="13" t="str"/>
      <x:c r="H57" s="14" t="str">
        <x:f>IF(OR(E57="",G57=""),"",MAX(0,G57-E57))</x:f>
      </x:c>
      <x:c r="I57" s="12" t="str">
        <x:v>No</x:v>
      </x:c>
      <x:c r="J57" s="13" t="str"/>
      <x:c r="K57" s="13" t="str"/>
      <x:c r="L57" s="13" t="str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24" hidden="0" customHeight="1">
      <x:c r="A58" s="12" t="str">
        <x:v>12</x:v>
      </x:c>
      <x:c r="B58" s="12" t="str">
        <x:v>Users communication and public trust</x:v>
      </x:c>
      <x:c r="C58" s="12" t="str">
        <x:v>12.2</x:v>
      </x:c>
      <x:c r="D58" s="12" t="str">
        <x:v>Do releases explain data sources, AI contribution, limitations, uncertainty, revisions and contact points?</x:v>
      </x:c>
      <x:c r="E58" s="13" t="str"/>
      <x:c r="F58" s="13" t="str"/>
      <x:c r="G58" s="13" t="str"/>
      <x:c r="H58" s="14" t="str">
        <x:f>IF(OR(E58="",G58=""),"",MAX(0,G58-E58))</x:f>
      </x:c>
      <x:c r="I58" s="12" t="str">
        <x:v>Yes</x:v>
      </x:c>
      <x:c r="J58" s="13" t="str"/>
      <x:c r="K58" s="13" t="str"/>
      <x:c r="L58" s="13" t="str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24" hidden="0" customHeight="1">
      <x:c r="A59" s="12" t="str">
        <x:v>12</x:v>
      </x:c>
      <x:c r="B59" s="12" t="str">
        <x:v>Users communication and public trust</x:v>
      </x:c>
      <x:c r="C59" s="12" t="str">
        <x:v>12.3</x:v>
      </x:c>
      <x:c r="D59" s="12" t="str">
        <x:v>Are accessibility, language, digital exclusion and unequal impacts considered in dissemination and service design?</x:v>
      </x:c>
      <x:c r="E59" s="13" t="str"/>
      <x:c r="F59" s="13" t="str"/>
      <x:c r="G59" s="13" t="str"/>
      <x:c r="H59" s="14" t="str">
        <x:f>IF(OR(E59="",G59=""),"",MAX(0,G59-E59))</x:f>
      </x:c>
      <x:c r="I59" s="12" t="str">
        <x:v>No</x:v>
      </x:c>
      <x:c r="J59" s="13" t="str"/>
      <x:c r="K59" s="13" t="str"/>
      <x:c r="L59" s="13" t="str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24" hidden="0" customHeight="1">
      <x:c r="A60" s="15" t="str">
        <x:v>12</x:v>
      </x:c>
      <x:c r="B60" s="15" t="str">
        <x:v>Users communication and public trust</x:v>
      </x:c>
      <x:c r="C60" s="15" t="str">
        <x:v>12.4</x:v>
      </x:c>
      <x:c r="D60" s="15" t="str">
        <x:v>Does the organization monitor trust, misunderstanding, complaints and misuse and respond transparently?</x:v>
      </x:c>
      <x:c r="E60" s="16" t="str"/>
      <x:c r="F60" s="16" t="str"/>
      <x:c r="G60" s="16" t="str"/>
      <x:c r="H60" s="17" t="str">
        <x:f>IF(OR(E60="",G60=""),"",MAX(0,G60-E60))</x:f>
      </x:c>
      <x:c r="I60" s="15" t="str">
        <x:v>No</x:v>
      </x:c>
      <x:c r="J60" s="16" t="str"/>
      <x:c r="K60" s="16" t="str"/>
      <x:c r="L60" s="16" t="str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A2:L2"/>
    <x:mergeCell ref="A3:L3"/>
  </x:mergeCells>
  <x:conditionalFormatting sqref="E13:E60">
    <x:cfRule type="dataBar" priority="1">
      <x:dataBar>
        <x:cfvo type="min"/>
        <x:cfvo type="max"/>
        <x:color rgb="FF0F6B69"/>
      </x:dataBar>
      <x:extLst>
        <x:ext xmlns:x14="http://schemas.microsoft.com/office/spreadsheetml/2009/9/main" uri="{B025F937-C7B1-47D3-B67F-A62EFF666E3E}">
          <x14:id>{008A5751-2F0E-7557-F50B-3D1E01E81FA1}</x14:id>
        </x:ext>
      </x:extLst>
    </x:cfRule>
  </x:conditionalFormatting>
  <x:conditionalFormatting sqref="H13:H60">
    <x:cfRule type="cellIs" dxfId="0" priority="2" operator="greaterThan">
      <x:formula>0</x:formula>
    </x:cfRule>
  </x:conditionalFormatting>
  <x:dataValidations count="4">
    <x:dataValidation type="list" sqref="E13:E60">
      <x:formula1>"0,1,2,3,4,5"</x:formula1>
    </x:dataValidation>
    <x:dataValidation type="list" sqref="F13:F60">
      <x:formula1>"A High,B Moderate,C Low"</x:formula1>
    </x:dataValidation>
    <x:dataValidation type="list" sqref="G13:G60">
      <x:formula1>"0,1,2,3,4,5"</x:formula1>
    </x:dataValidation>
    <x:dataValidation type="list" sqref="K13:K60">
      <x:formula1>"P1 Safeguard,P2 Foundational,P3 Operational,P4 Developmental"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08A5751-2F0E-7557-F50B-3D1E01E81FA1}">
            <x14:dataBar gradient="1">
              <x14:cfvo type="min"/>
              <x14:cfvo type="max"/>
              <x14:fillColor rgb="FF0F6B69"/>
            </x14:dataBar>
          </x14:cfRule>
          <xm:sqref>E13:E60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Pr>
    <x:tabColor rgb="FF4F81B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6" hidden="0" customWidth="1"/>
    <x:col min="3" max="3" width="52" hidden="0" customWidth="1"/>
    <x:col min="4" max="4" width="18" hidden="0" customWidth="1"/>
    <x:col min="5" max="5" width="22" hidden="0" customWidth="1"/>
    <x:col min="6" max="6" width="18" hidden="0" customWidth="1"/>
    <x:col min="7" max="7" width="1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8" customHeight="1">
      <x:c r="A2" s="3" t="str">
        <x:v>Readiness Gate Decision</x:v>
      </x:c>
      <x:c r="B2" s="3"/>
      <x:c r="C2" s="3"/>
      <x:c r="D2" s="3"/>
      <x:c r="E2" s="3"/>
      <x:c r="F2" s="3"/>
      <x:c r="G2" s="3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4" t="str">
        <x:v>A failed applicable gate overrides maturity scores for the affected operational use.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0" customHeight="1">
      <x:c r="A5" s="10" t="str">
        <x:v>Gate</x:v>
      </x:c>
      <x:c r="B5" s="10" t="str">
        <x:v>Name</x:v>
      </x:c>
      <x:c r="C5" s="10" t="str">
        <x:v>Decision question</x:v>
      </x:c>
      <x:c r="D5" s="10" t="str">
        <x:v>Status</x:v>
      </x:c>
      <x:c r="E5" s="10" t="str">
        <x:v>Evidence reference</x:v>
      </x:c>
      <x:c r="F5" s="10" t="str">
        <x:v>Owner</x:v>
      </x:c>
      <x:c r="G5" s="10" t="str">
        <x:v>Due date</x:v>
      </x:c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84" hidden="0" customHeight="1">
      <x:c r="A6" s="12" t="str">
        <x:v>G1</x:v>
      </x:c>
      <x:c r="B6" s="12" t="str">
        <x:v>Sponsorship</x:v>
      </x:c>
      <x:c r="C6" s="12" t="str">
        <x:v>Named senior sponsor and accountable operational owner</x:v>
      </x:c>
      <x:c r="D6" s="13" t="str"/>
      <x:c r="E6" s="13" t="str"/>
      <x:c r="F6" s="13" t="str"/>
      <x:c r="G6" s="19" t="str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72" hidden="0" customHeight="1">
      <x:c r="A7" s="12" t="str">
        <x:v>G2</x:v>
      </x:c>
      <x:c r="B7" s="12" t="str">
        <x:v>Law and classification</x:v>
      </x:c>
      <x:c r="C7" s="12" t="str">
        <x:v>Lawful use, ethical review and data classification</x:v>
      </x:c>
      <x:c r="D7" s="13" t="str"/>
      <x:c r="E7" s="13" t="str"/>
      <x:c r="F7" s="13" t="str"/>
      <x:c r="G7" s="19" t="str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60" hidden="0" customHeight="1">
      <x:c r="A8" s="12" t="str">
        <x:v>G3</x:v>
      </x:c>
      <x:c r="B8" s="12" t="str">
        <x:v>Safe environment</x:v>
      </x:c>
      <x:c r="C8" s="12" t="str">
        <x:v>Approved secure environment for data and models</x:v>
      </x:c>
      <x:c r="D8" s="13" t="str"/>
      <x:c r="E8" s="13" t="str"/>
      <x:c r="F8" s="13" t="str"/>
      <x:c r="G8" s="19" t="str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72" hidden="0" customHeight="1">
      <x:c r="A9" s="12" t="str">
        <x:v>G4</x:v>
      </x:c>
      <x:c r="B9" s="12" t="str">
        <x:v>Benchmark and owner</x:v>
      </x:c>
      <x:c r="C9" s="12" t="str">
        <x:v>Benchmark, acceptance criterion and statistical owner</x:v>
      </x:c>
      <x:c r="D9" s="13" t="str"/>
      <x:c r="E9" s="13" t="str"/>
      <x:c r="F9" s="13" t="str"/>
      <x:c r="G9" s="19" t="str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72" hidden="0" customHeight="1">
      <x:c r="A10" s="12" t="str">
        <x:v>G5</x:v>
      </x:c>
      <x:c r="B10" s="12" t="str">
        <x:v>Human review</x:v>
      </x:c>
      <x:c r="C10" s="12" t="str">
        <x:v>Accountable human review at required decision points</x:v>
      </x:c>
      <x:c r="D10" s="13" t="str"/>
      <x:c r="E10" s="13" t="str"/>
      <x:c r="F10" s="13" t="str"/>
      <x:c r="G10" s="19" t="str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08" hidden="0" customHeight="1">
      <x:c r="A11" s="12" t="str">
        <x:v>G6</x:v>
      </x:c>
      <x:c r="B11" s="12" t="str">
        <x:v>Documentation</x:v>
      </x:c>
      <x:c r="C11" s="12" t="str">
        <x:v>Data, model, prompts, tests, limitations and decisions documented</x:v>
      </x:c>
      <x:c r="D11" s="13" t="str"/>
      <x:c r="E11" s="13" t="str"/>
      <x:c r="F11" s="13" t="str"/>
      <x:c r="G11" s="19" t="str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84" hidden="0" customHeight="1">
      <x:c r="A12" s="15" t="str">
        <x:v>G7</x:v>
      </x:c>
      <x:c r="B12" s="15" t="str">
        <x:v>Continuity</x:v>
      </x:c>
      <x:c r="C12" s="15" t="str">
        <x:v>Workflow can continue, roll back or exit provider safely</x:v>
      </x:c>
      <x:c r="D12" s="16" t="str"/>
      <x:c r="E12" s="16" t="str"/>
      <x:c r="F12" s="16" t="str"/>
      <x:c r="G12" s="20" t="str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22" customHeight="1">
      <x:c r="A15" s="8" t="str">
        <x:v>Overall decision</x:v>
      </x:c>
      <x:c r="B15" s="8"/>
      <x:c r="C15" s="8"/>
      <x:c r="D15" s="8"/>
      <x:c r="E15" s="8"/>
      <x:c r="F15" s="8"/>
      <x:c r="G15" s="8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5" t="str">
        <x:v>Failed gates</x:v>
      </x:c>
      <x:c r="B17" s="2" t="n">
        <x:f>COUNTIF(D6:D12,"Not met")</x:f>
        <x:v>0</x:v>
      </x:c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5" t="str">
        <x:v>Conditional gates</x:v>
      </x:c>
      <x:c r="B18" s="2" t="n">
        <x:f>COUNTIF(D6:D12,"Conditional")</x:f>
        <x:v>0</x:v>
      </x:c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5" t="str">
        <x:v>Incomplete gates</x:v>
      </x:c>
      <x:c r="B19" s="2" t="n">
        <x:f>COUNTBLANK(D6:D12)</x:f>
        <x:v>7</x:v>
      </x:c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5" t="str">
        <x:v>Decision</x:v>
      </x:c>
      <x:c r="B20" s="21" t="str">
        <x:f>IF(B17&gt;0,"DO NOT PROCEED",IF(B19&gt;0,"INCOMPLETE",IF(B18&gt;0,"PROCEED CONDITIONALLY","PROCEED TO CONTROLLED EXPERIMENTATION")))</x:f>
        <x:v>INCOMPLETE</x:v>
      </x:c>
      <x:c r="C20" s="21"/>
      <x:c r="D20" s="21"/>
      <x:c r="E20" s="21"/>
      <x:c r="F20" s="21"/>
      <x:c r="G20" s="21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A2:G2"/>
    <x:mergeCell ref="A3:G3"/>
    <x:mergeCell ref="A15:G15"/>
    <x:mergeCell ref="B20:G20"/>
  </x:mergeCells>
  <x:conditionalFormatting sqref="D6:D12">
    <x:cfRule type="containsText" dxfId="1" priority="1" operator="containsText" text="Not met"/>
    <x:cfRule type="containsText" dxfId="2" priority="2" operator="containsText" text="Conditional"/>
    <x:cfRule type="containsText" dxfId="3" priority="3" operator="containsText" text="Met"/>
  </x:conditionalFormatting>
  <x:dataValidations count="1">
    <x:dataValidation type="list" sqref="D6:D12">
      <x:formula1>"Met,Conditional,Not met,Not applicable"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C99A0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3" hidden="0" customWidth="1"/>
    <x:col min="3" max="3" width="48" hidden="0" customWidth="1"/>
    <x:col min="4" max="4" width="20" hidden="0" customWidth="1"/>
    <x:col min="5" max="5" width="14" hidden="0" customWidth="1"/>
    <x:col min="6" max="6" width="22" hidden="0" customWidth="1"/>
    <x:col min="7" max="7" width="28" hidden="0" customWidth="1"/>
    <x:col min="8" max="8" width="16" hidden="0" customWidth="1"/>
    <x:col min="9" max="9" width="2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8" customHeight="1">
      <x:c r="A2" s="3" t="str">
        <x:v>Priority Improvement Plan</x:v>
      </x:c>
      <x:c r="B2" s="3"/>
      <x:c r="C2" s="3"/>
      <x:c r="D2" s="3"/>
      <x:c r="E2" s="3"/>
      <x:c r="F2" s="3"/>
      <x:c r="G2" s="3"/>
      <x:c r="H2" s="3"/>
      <x:c r="I2" s="3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4" t="str">
        <x:v>Record agreed actions with accountable owners, resources, completion evidence and deadlines.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0" customHeight="1">
      <x:c r="A5" s="10" t="str">
        <x:v>Priority</x:v>
      </x:c>
      <x:c r="B5" s="10" t="str">
        <x:v>Dimension</x:v>
      </x:c>
      <x:c r="C5" s="10" t="str">
        <x:v>Action</x:v>
      </x:c>
      <x:c r="D5" s="10" t="str">
        <x:v>Owner</x:v>
      </x:c>
      <x:c r="E5" s="10" t="str">
        <x:v>Due date</x:v>
      </x:c>
      <x:c r="F5" s="10" t="str">
        <x:v>Resources</x:v>
      </x:c>
      <x:c r="G5" s="10" t="str">
        <x:v>Completion evidence</x:v>
      </x:c>
      <x:c r="H5" s="10" t="str">
        <x:v>Status</x:v>
      </x:c>
      <x:c r="I5" s="10" t="str">
        <x:v>Notes</x:v>
      </x:c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34" customHeight="1">
      <x:c r="A6" s="13" t="str"/>
      <x:c r="B6" s="13" t="str"/>
      <x:c r="C6" s="13" t="str"/>
      <x:c r="D6" s="13" t="str"/>
      <x:c r="E6" s="19" t="str"/>
      <x:c r="F6" s="13" t="str"/>
      <x:c r="G6" s="13" t="str"/>
      <x:c r="H6" s="13" t="str"/>
      <x:c r="I6" s="13" t="str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34" customHeight="1">
      <x:c r="A7" s="13" t="str"/>
      <x:c r="B7" s="13" t="str"/>
      <x:c r="C7" s="13" t="str"/>
      <x:c r="D7" s="13" t="str"/>
      <x:c r="E7" s="19" t="str"/>
      <x:c r="F7" s="13" t="str"/>
      <x:c r="G7" s="13" t="str"/>
      <x:c r="H7" s="13" t="str"/>
      <x:c r="I7" s="13" t="str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34" customHeight="1">
      <x:c r="A8" s="13" t="str"/>
      <x:c r="B8" s="13" t="str"/>
      <x:c r="C8" s="13" t="str"/>
      <x:c r="D8" s="13" t="str"/>
      <x:c r="E8" s="19" t="str"/>
      <x:c r="F8" s="13" t="str"/>
      <x:c r="G8" s="13" t="str"/>
      <x:c r="H8" s="13" t="str"/>
      <x:c r="I8" s="13" t="str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34" customHeight="1">
      <x:c r="A9" s="13" t="str"/>
      <x:c r="B9" s="13" t="str"/>
      <x:c r="C9" s="13" t="str"/>
      <x:c r="D9" s="13" t="str"/>
      <x:c r="E9" s="19" t="str"/>
      <x:c r="F9" s="13" t="str"/>
      <x:c r="G9" s="13" t="str"/>
      <x:c r="H9" s="13" t="str"/>
      <x:c r="I9" s="13" t="str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34" customHeight="1">
      <x:c r="A10" s="13" t="str"/>
      <x:c r="B10" s="13" t="str"/>
      <x:c r="C10" s="13" t="str"/>
      <x:c r="D10" s="13" t="str"/>
      <x:c r="E10" s="19" t="str"/>
      <x:c r="F10" s="13" t="str"/>
      <x:c r="G10" s="13" t="str"/>
      <x:c r="H10" s="13" t="str"/>
      <x:c r="I10" s="13" t="str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34" customHeight="1">
      <x:c r="A11" s="13" t="str"/>
      <x:c r="B11" s="13" t="str"/>
      <x:c r="C11" s="13" t="str"/>
      <x:c r="D11" s="13" t="str"/>
      <x:c r="E11" s="19" t="str"/>
      <x:c r="F11" s="13" t="str"/>
      <x:c r="G11" s="13" t="str"/>
      <x:c r="H11" s="13" t="str"/>
      <x:c r="I11" s="13" t="str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34" customHeight="1">
      <x:c r="A12" s="13" t="str"/>
      <x:c r="B12" s="13" t="str"/>
      <x:c r="C12" s="13" t="str"/>
      <x:c r="D12" s="13" t="str"/>
      <x:c r="E12" s="19" t="str"/>
      <x:c r="F12" s="13" t="str"/>
      <x:c r="G12" s="13" t="str"/>
      <x:c r="H12" s="13" t="str"/>
      <x:c r="I12" s="13" t="str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34" customHeight="1">
      <x:c r="A13" s="13" t="str"/>
      <x:c r="B13" s="13" t="str"/>
      <x:c r="C13" s="13" t="str"/>
      <x:c r="D13" s="13" t="str"/>
      <x:c r="E13" s="19" t="str"/>
      <x:c r="F13" s="13" t="str"/>
      <x:c r="G13" s="13" t="str"/>
      <x:c r="H13" s="13" t="str"/>
      <x:c r="I13" s="13" t="str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34" customHeight="1">
      <x:c r="A14" s="13" t="str"/>
      <x:c r="B14" s="13" t="str"/>
      <x:c r="C14" s="13" t="str"/>
      <x:c r="D14" s="13" t="str"/>
      <x:c r="E14" s="19" t="str"/>
      <x:c r="F14" s="13" t="str"/>
      <x:c r="G14" s="13" t="str"/>
      <x:c r="H14" s="13" t="str"/>
      <x:c r="I14" s="13" t="str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34" customHeight="1">
      <x:c r="A15" s="13" t="str"/>
      <x:c r="B15" s="13" t="str"/>
      <x:c r="C15" s="13" t="str"/>
      <x:c r="D15" s="13" t="str"/>
      <x:c r="E15" s="19" t="str"/>
      <x:c r="F15" s="13" t="str"/>
      <x:c r="G15" s="13" t="str"/>
      <x:c r="H15" s="13" t="str"/>
      <x:c r="I15" s="13" t="str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34" customHeight="1">
      <x:c r="A16" s="13" t="str"/>
      <x:c r="B16" s="13" t="str"/>
      <x:c r="C16" s="13" t="str"/>
      <x:c r="D16" s="13" t="str"/>
      <x:c r="E16" s="19" t="str"/>
      <x:c r="F16" s="13" t="str"/>
      <x:c r="G16" s="13" t="str"/>
      <x:c r="H16" s="13" t="str"/>
      <x:c r="I16" s="13" t="str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34" customHeight="1">
      <x:c r="A17" s="13" t="str"/>
      <x:c r="B17" s="13" t="str"/>
      <x:c r="C17" s="13" t="str"/>
      <x:c r="D17" s="13" t="str"/>
      <x:c r="E17" s="19" t="str"/>
      <x:c r="F17" s="13" t="str"/>
      <x:c r="G17" s="13" t="str"/>
      <x:c r="H17" s="13" t="str"/>
      <x:c r="I17" s="13" t="str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34" customHeight="1">
      <x:c r="A18" s="13" t="str"/>
      <x:c r="B18" s="13" t="str"/>
      <x:c r="C18" s="13" t="str"/>
      <x:c r="D18" s="13" t="str"/>
      <x:c r="E18" s="19" t="str"/>
      <x:c r="F18" s="13" t="str"/>
      <x:c r="G18" s="13" t="str"/>
      <x:c r="H18" s="13" t="str"/>
      <x:c r="I18" s="13" t="str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34" customHeight="1">
      <x:c r="A19" s="13" t="str"/>
      <x:c r="B19" s="13" t="str"/>
      <x:c r="C19" s="13" t="str"/>
      <x:c r="D19" s="13" t="str"/>
      <x:c r="E19" s="19" t="str"/>
      <x:c r="F19" s="13" t="str"/>
      <x:c r="G19" s="13" t="str"/>
      <x:c r="H19" s="13" t="str"/>
      <x:c r="I19" s="13" t="str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34" customHeight="1">
      <x:c r="A20" s="13" t="str"/>
      <x:c r="B20" s="13" t="str"/>
      <x:c r="C20" s="13" t="str"/>
      <x:c r="D20" s="13" t="str"/>
      <x:c r="E20" s="19" t="str"/>
      <x:c r="F20" s="13" t="str"/>
      <x:c r="G20" s="13" t="str"/>
      <x:c r="H20" s="13" t="str"/>
      <x:c r="I20" s="13" t="str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34" customHeight="1">
      <x:c r="A21" s="13" t="str"/>
      <x:c r="B21" s="13" t="str"/>
      <x:c r="C21" s="13" t="str"/>
      <x:c r="D21" s="13" t="str"/>
      <x:c r="E21" s="19" t="str"/>
      <x:c r="F21" s="13" t="str"/>
      <x:c r="G21" s="13" t="str"/>
      <x:c r="H21" s="13" t="str"/>
      <x:c r="I21" s="13" t="str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34" customHeight="1">
      <x:c r="A22" s="13" t="str"/>
      <x:c r="B22" s="13" t="str"/>
      <x:c r="C22" s="13" t="str"/>
      <x:c r="D22" s="13" t="str"/>
      <x:c r="E22" s="19" t="str"/>
      <x:c r="F22" s="13" t="str"/>
      <x:c r="G22" s="13" t="str"/>
      <x:c r="H22" s="13" t="str"/>
      <x:c r="I22" s="13" t="str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34" customHeight="1">
      <x:c r="A23" s="13" t="str"/>
      <x:c r="B23" s="13" t="str"/>
      <x:c r="C23" s="13" t="str"/>
      <x:c r="D23" s="13" t="str"/>
      <x:c r="E23" s="19" t="str"/>
      <x:c r="F23" s="13" t="str"/>
      <x:c r="G23" s="13" t="str"/>
      <x:c r="H23" s="13" t="str"/>
      <x:c r="I23" s="13" t="str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34" customHeight="1">
      <x:c r="A24" s="13" t="str"/>
      <x:c r="B24" s="13" t="str"/>
      <x:c r="C24" s="13" t="str"/>
      <x:c r="D24" s="13" t="str"/>
      <x:c r="E24" s="19" t="str"/>
      <x:c r="F24" s="13" t="str"/>
      <x:c r="G24" s="13" t="str"/>
      <x:c r="H24" s="13" t="str"/>
      <x:c r="I24" s="13" t="str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34" customHeight="1">
      <x:c r="A25" s="16" t="str"/>
      <x:c r="B25" s="16" t="str"/>
      <x:c r="C25" s="16" t="str"/>
      <x:c r="D25" s="16" t="str"/>
      <x:c r="E25" s="20" t="str"/>
      <x:c r="F25" s="16" t="str"/>
      <x:c r="G25" s="16" t="str"/>
      <x:c r="H25" s="16" t="str"/>
      <x:c r="I25" s="16" t="str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A2:I2"/>
    <x:mergeCell ref="A3:I3"/>
  </x:mergeCells>
  <x:conditionalFormatting sqref="H6:H25">
    <x:cfRule type="containsText" dxfId="4" priority="1" operator="containsText" text="Blocked"/>
    <x:cfRule type="containsText" dxfId="5" priority="2" operator="containsText" text="Completed"/>
    <x:cfRule type="containsText" dxfId="6" priority="3" operator="containsText" text="In progress"/>
  </x:conditionalFormatting>
  <x:dataValidations count="3">
    <x:dataValidation type="list" sqref="A6:A25">
      <x:formula1>"P1 Safeguard,P2 Foundational,P3 Operational,P4 Developmental"</x:formula1>
    </x:dataValidation>
    <x:dataValidation type="list" sqref="B6:B25">
      <x:formula1>"1,2,3,4,5,6,7,8,9,10,11,12,System wide"</x:formula1>
    </x:dataValidation>
    <x:dataValidation type="list" sqref="H6:H25">
      <x:formula1>"Not started,In progress,Blocked,Completed,Deferred"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5A6570"/>
  </x:sheetPr>
  <x:sheetViews>
    <x:sheetView showGridLines="0" workbookViewId="0"/>
  </x:sheetViews>
  <x:sheetFormatPr defaultRowHeight="15"/>
  <x:cols>
    <x:col min="1" max="1" width="11" hidden="0" customWidth="1"/>
    <x:col min="2" max="2" width="64" hidden="0" customWidth="1"/>
    <x:col min="3" max="3" width="40" hidden="0" customWidth="1"/>
    <x:col min="4" max="4" width="3" hidden="0" customWidth="1"/>
    <x:col min="5" max="5" width="18" hidden="0" customWidth="1"/>
    <x:col min="6" max="6" width="44" hidden="0" customWidth="1"/>
    <x:col min="7" max="7" width="3" hidden="0" customWidth="1"/>
    <x:col min="8" max="8" width="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8" customHeight="1">
      <x:c r="A2" s="3" t="str">
        <x:v>Workbook Guidance</x:v>
      </x:c>
      <x:c r="B2" s="3"/>
      <x:c r="C2" s="3"/>
      <x:c r="D2" s="3"/>
      <x:c r="E2" s="3"/>
      <x:c r="F2" s="3"/>
      <x:c r="G2" s="3"/>
      <x:c r="H2" s="3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22" customHeight="1">
      <x:c r="A4" s="8" t="str">
        <x:v>Use sequence</x:v>
      </x:c>
      <x:c r="B4" s="8"/>
      <x:c r="C4" s="8"/>
      <x:c r="D4" s="8"/>
      <x:c r="E4" s="8"/>
      <x:c r="F4" s="8"/>
      <x:c r="G4" s="8"/>
      <x:c r="H4" s="8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30" customHeight="1">
      <x:c r="A6" s="10" t="str">
        <x:v>Step</x:v>
      </x:c>
      <x:c r="B6" s="10" t="str">
        <x:v>Action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12" t="str">
        <x:v>1</x:v>
      </x:c>
      <x:c r="B7" s="12" t="str">
        <x:v>Complete the assessment metadata and all 48 question rows on Assessment Input.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12" t="str">
        <x:v>2</x:v>
      </x:c>
      <x:c r="B8" s="12" t="str">
        <x:v>Use only evidence-supported scores and record evidence references.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12" t="str">
        <x:v>3</x:v>
      </x:c>
      <x:c r="B9" s="12" t="str">
        <x:v>Complete Readiness Gates for each proposed operational use case.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12" t="str">
        <x:v>4</x:v>
      </x:c>
      <x:c r="B10" s="12" t="str">
        <x:v>Agree targets and priorities in a consensus workshop.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15" t="str">
        <x:v>5</x:v>
      </x:c>
      <x:c r="B11" s="15" t="str">
        <x:v>Record approved interventions on Action Plan and review the Dashboard.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22" customHeight="1">
      <x:c r="A14" s="8" t="str">
        <x:v>Scoring and interpretation</x:v>
      </x:c>
      <x:c r="B14" s="8"/>
      <x:c r="C14" s="8"/>
      <x:c r="D14" s="8"/>
      <x:c r="E14" s="8"/>
      <x:c r="F14" s="8"/>
      <x:c r="G14" s="8"/>
      <x:c r="H14" s="8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30" customHeight="1">
      <x:c r="A16" s="10" t="str">
        <x:v>Score</x:v>
      </x:c>
      <x:c r="B16" s="10" t="str">
        <x:v>Level</x:v>
      </x:c>
      <x:c r="C16" s="10" t="str">
        <x:v>Interpretation</x:v>
      </x:c>
      <x:c r="D16" s="2"/>
      <x:c r="E16" s="10" t="str">
        <x:v>Confidence</x:v>
      </x:c>
      <x:c r="F16" s="10" t="str">
        <x:v>Meaning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12" t="str">
        <x:v>0</x:v>
      </x:c>
      <x:c r="B17" s="12" t="str">
        <x:v>Not established</x:v>
      </x:c>
      <x:c r="C17" s="12" t="str">
        <x:v>Absent, unknown, prohibited or unsupported.</x:v>
      </x:c>
      <x:c r="D17" s="2"/>
      <x:c r="E17" s="12" t="str">
        <x:v>A High</x:v>
      </x:c>
      <x:c r="F17" s="12" t="str">
        <x:v>Multiple authoritative or operational sources agree.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12" t="str">
        <x:v>1</x:v>
      </x:c>
      <x:c r="B18" s="12" t="str">
        <x:v>Aware</x:v>
      </x:c>
      <x:c r="C18" s="12" t="str">
        <x:v>Need and risks recognized; responsibility and controls unclear.</x:v>
      </x:c>
      <x:c r="D18" s="2"/>
      <x:c r="E18" s="12" t="str">
        <x:v>B Moderate</x:v>
      </x:c>
      <x:c r="F18" s="12" t="str">
        <x:v>Credible source plus corroborated testimony, with limited gaps.</x:v>
      </x:c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12" t="str">
        <x:v>2</x:v>
      </x:c>
      <x:c r="B19" s="12" t="str">
        <x:v>Defined</x:v>
      </x:c>
      <x:c r="C19" s="12" t="str">
        <x:v>Roles or procedures documented; implementation partial.</x:v>
      </x:c>
      <x:c r="D19" s="2"/>
      <x:c r="E19" s="15" t="str">
        <x:v>C Low</x:v>
      </x:c>
      <x:c r="F19" s="15" t="str">
        <x:v>Mainly self-report, draft material or unresolved disagreement.</x:v>
      </x:c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12" t="str">
        <x:v>3</x:v>
      </x:c>
      <x:c r="B20" s="12" t="str">
        <x:v>Practiced</x:v>
      </x:c>
      <x:c r="C20" s="12" t="str">
        <x:v>Approved controls used in bounded pilots or selected workflows.</x:v>
      </x:c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12" t="str">
        <x:v>4</x:v>
      </x:c>
      <x:c r="B21" s="12" t="str">
        <x:v>Managed</x:v>
      </x:c>
      <x:c r="C21" s="12" t="str">
        <x:v>Integrated into regular operations, monitored and resourced.</x:v>
      </x:c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15" t="str">
        <x:v>5</x:v>
      </x:c>
      <x:c r="B22" s="15" t="str">
        <x:v>Transformational</x:v>
      </x:c>
      <x:c r="C22" s="15" t="str">
        <x:v>Sustained, continuously improved and transparently governed.</x:v>
      </x:c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22" customHeight="1">
      <x:c r="A25" s="8" t="str">
        <x:v>Important rules</x:v>
      </x:c>
      <x:c r="B25" s="8"/>
      <x:c r="C25" s="8"/>
      <x:c r="D25" s="8"/>
      <x:c r="E25" s="8"/>
      <x:c r="F25" s="8"/>
      <x:c r="G25" s="8"/>
      <x:c r="H25" s="8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7" t="str">
        <x:v>Do not publish a single country ranking from these scores. Report the full dimension profile, evidence confidence and readiness-gate decision. Blank is incomplete, not zero. A maturity score cannot compensate for a failed safeguard. Use this workbook with the Phase 1A Diagnostic Framework and Phase 1B Questionnaire.</x:v>
      </x:c>
      <x:c r="B27" s="27"/>
      <x:c r="C27" s="27"/>
      <x:c r="D27" s="27"/>
      <x:c r="E27" s="27"/>
      <x:c r="F27" s="27"/>
      <x:c r="G27" s="27"/>
      <x:c r="H27" s="27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A2:H2"/>
    <x:mergeCell ref="A4:H4"/>
    <x:mergeCell ref="A14:H14"/>
    <x:mergeCell ref="A25:H25"/>
    <x:mergeCell ref="A27:H31"/>
  </x:mergeCells>
  <x:pageMargins left="0.7" right="0.7" top="0.75" bottom="0.75" header="0.3" footer="0.3"/>
</x:worksheet>
</file>